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4DFC517-1AD4-46C4-AA72-5905F70CC254}" xr6:coauthVersionLast="47" xr6:coauthVersionMax="47" xr10:uidLastSave="{00000000-0000-0000-0000-000000000000}"/>
  <bookViews>
    <workbookView xWindow="-110" yWindow="-110" windowWidth="19420" windowHeight="11020" activeTab="3" xr2:uid="{00000000-000D-0000-FFFF-FFFF00000000}"/>
  </bookViews>
  <sheets>
    <sheet name="Dashboard" sheetId="7" r:id="rId1"/>
    <sheet name="Productos" sheetId="2" r:id="rId2"/>
    <sheet name="Compras y Ventas" sheetId="3" r:id="rId3"/>
    <sheet name="Control de stock" sheetId="6" r:id="rId4"/>
  </sheets>
  <definedNames>
    <definedName name="_xlnm._FilterDatabase" localSheetId="2" hidden="1">'Compras y Ventas'!$B$8:$G$18</definedName>
    <definedName name="CODIGO">Productos!$B$8:$B$11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2" i="3" l="1"/>
  <c r="E12" i="3"/>
  <c r="F11" i="3"/>
  <c r="E11" i="3"/>
  <c r="F10" i="3"/>
  <c r="E10" i="3"/>
  <c r="F9" i="3"/>
  <c r="E9" i="3"/>
  <c r="F18" i="3"/>
  <c r="E18" i="3"/>
  <c r="F17" i="3"/>
  <c r="E17" i="3"/>
  <c r="F16" i="3"/>
  <c r="E16" i="3"/>
  <c r="F15" i="3"/>
  <c r="E15" i="3"/>
  <c r="F14" i="3"/>
  <c r="E14" i="3"/>
  <c r="F13" i="3"/>
  <c r="E13" i="3"/>
</calcChain>
</file>

<file path=xl/sharedStrings.xml><?xml version="1.0" encoding="utf-8"?>
<sst xmlns="http://schemas.openxmlformats.org/spreadsheetml/2006/main" count="68" uniqueCount="36">
  <si>
    <t>Lista de Productos</t>
  </si>
  <si>
    <t>Ingrese el código, el nombre y la categoría de cada producto</t>
  </si>
  <si>
    <t>CÓDIGO</t>
  </si>
  <si>
    <t>PRODUCTO</t>
  </si>
  <si>
    <t>CATEGORÍA</t>
  </si>
  <si>
    <t>Movimientos de existencia compras y ventas</t>
  </si>
  <si>
    <t>Registre el saldo inicial, las compras y las ventas de productos</t>
  </si>
  <si>
    <t>FECHA</t>
  </si>
  <si>
    <t>COMPRA/VENTA/EXISTENCIA</t>
  </si>
  <si>
    <t>CÓDIGO PRODUCTO</t>
  </si>
  <si>
    <t>CANTIDAD</t>
  </si>
  <si>
    <t>Suma de CANTIDAD</t>
  </si>
  <si>
    <t>Existencia</t>
  </si>
  <si>
    <t>Venta</t>
  </si>
  <si>
    <t>Compra</t>
  </si>
  <si>
    <t>Pulseras inteligentes</t>
  </si>
  <si>
    <t>Tabletas digitales</t>
  </si>
  <si>
    <t>Ordenadores portátiles</t>
  </si>
  <si>
    <t>A001</t>
  </si>
  <si>
    <t>A002</t>
  </si>
  <si>
    <t>A003</t>
  </si>
  <si>
    <t>A004</t>
  </si>
  <si>
    <t>Total general</t>
  </si>
  <si>
    <t>(Todas)</t>
  </si>
  <si>
    <t>Consola de viodeo juegos</t>
  </si>
  <si>
    <t>CONTROL DE STOCK</t>
  </si>
  <si>
    <t>Fechas</t>
  </si>
  <si>
    <t>Productos</t>
  </si>
  <si>
    <t xml:space="preserve"> </t>
  </si>
  <si>
    <t>Productos!</t>
  </si>
  <si>
    <t>Compras y Ventas'!</t>
  </si>
  <si>
    <t>Control de stock'!</t>
  </si>
  <si>
    <t>Conclusiones!</t>
  </si>
  <si>
    <t>Indice</t>
  </si>
  <si>
    <t>STOCK</t>
  </si>
  <si>
    <t>VOLUMEN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</si>
</sst>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</font>
    <font>
      <sz val="11"/>
      <color theme="1"/>
      <name val="Calibri"/>
    </font>
    <font>
      <sz val="14"/>
      <color theme="1"/>
      <name val="Calibri"/>
    </font>
    <font>
      <b/>
      <sz val="18"/>
      <color rgb="FF3F3F3F"/>
      <name val="Calibri"/>
    </font>
    <font>
      <b/>
      <sz val="20"/>
      <color rgb="FF1F497D"/>
      <name val="Calibri"/>
    </font>
    <font>
      <sz val="11"/>
      <color rgb="FF7F7F7F"/>
      <name val="Calibri"/>
    </font>
    <font>
      <sz val="8"/>
      <color theme="1"/>
      <name val="Calibri"/>
    </font>
    <font>
      <b/>
      <sz val="13"/>
      <color rgb="FF1F497D"/>
      <name val="Calibri"/>
    </font>
    <font>
      <sz val="14"/>
      <color rgb="FF595959"/>
      <name val="Calibri"/>
    </font>
    <font>
      <b/>
      <sz val="16"/>
      <color rgb="FF3F3F3F"/>
      <name val="Calibri"/>
    </font>
    <font>
      <b/>
      <sz val="14"/>
      <color theme="1"/>
      <name val="Calibri"/>
    </font>
    <font>
      <sz val="14"/>
      <color rgb="FFFF0000"/>
      <name val="Calibri"/>
    </font>
    <font>
      <sz val="14"/>
      <color theme="1"/>
      <name val="Calibri"/>
      <family val="2"/>
    </font>
    <font>
      <sz val="14"/>
      <color rgb="FFFF0000"/>
      <name val="Calibri"/>
      <family val="2"/>
    </font>
    <font>
      <sz val="14"/>
      <color rgb="FF595959"/>
      <name val="Calibri"/>
      <family val="2"/>
    </font>
    <font>
      <sz val="14"/>
      <name val="Calibri"/>
      <family val="2"/>
    </font>
    <font>
      <b/>
      <sz val="15"/>
      <color theme="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0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548DD4"/>
        <bgColor rgb="FF548DD4"/>
      </patternFill>
    </fill>
    <fill>
      <patternFill patternType="solid">
        <fgColor rgb="FFDBE5F1"/>
        <bgColor rgb="FFDBE5F1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/>
      <top style="thin">
        <color indexed="65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8" fillId="0" borderId="14" applyNumberFormat="0" applyFill="0" applyAlignment="0" applyProtection="0"/>
    <xf numFmtId="0" fontId="21" fillId="0" borderId="0" applyNumberFormat="0" applyFill="0" applyBorder="0" applyAlignment="0" applyProtection="0"/>
  </cellStyleXfs>
  <cellXfs count="58">
    <xf numFmtId="0" fontId="0" fillId="0" borderId="0" xfId="0" applyFont="1" applyAlignment="1"/>
    <xf numFmtId="0" fontId="2" fillId="0" borderId="0" xfId="0" applyFont="1"/>
    <xf numFmtId="0" fontId="3" fillId="0" borderId="0" xfId="0" applyFont="1"/>
    <xf numFmtId="0" fontId="3" fillId="2" borderId="1" xfId="0" applyFont="1" applyFill="1" applyBorder="1"/>
    <xf numFmtId="0" fontId="4" fillId="0" borderId="0" xfId="0" applyFont="1"/>
    <xf numFmtId="0" fontId="5" fillId="0" borderId="0" xfId="0" applyFont="1" applyAlignment="1">
      <alignment vertical="center"/>
    </xf>
    <xf numFmtId="0" fontId="6" fillId="0" borderId="0" xfId="0" applyFont="1"/>
    <xf numFmtId="0" fontId="7" fillId="0" borderId="0" xfId="0" applyFont="1" applyAlignment="1">
      <alignment vertical="top"/>
    </xf>
    <xf numFmtId="0" fontId="8" fillId="0" borderId="0" xfId="0" applyFont="1"/>
    <xf numFmtId="0" fontId="9" fillId="3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0" fontId="11" fillId="0" borderId="0" xfId="0" applyFont="1" applyAlignment="1">
      <alignment vertical="center"/>
    </xf>
    <xf numFmtId="0" fontId="12" fillId="0" borderId="0" xfId="0" applyFont="1"/>
    <xf numFmtId="0" fontId="9" fillId="3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10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0" fontId="10" fillId="4" borderId="2" xfId="0" applyFont="1" applyFill="1" applyBorder="1" applyAlignment="1">
      <alignment horizontal="left" vertical="center"/>
    </xf>
    <xf numFmtId="1" fontId="10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13" fillId="0" borderId="2" xfId="0" applyNumberFormat="1" applyFont="1" applyBorder="1" applyAlignment="1">
      <alignment horizontal="center" vertical="center"/>
    </xf>
    <xf numFmtId="14" fontId="8" fillId="0" borderId="0" xfId="0" applyNumberFormat="1" applyFont="1" applyAlignment="1">
      <alignment horizontal="center"/>
    </xf>
    <xf numFmtId="0" fontId="14" fillId="0" borderId="2" xfId="0" applyFont="1" applyBorder="1" applyAlignment="1">
      <alignment horizontal="center"/>
    </xf>
    <xf numFmtId="1" fontId="15" fillId="0" borderId="2" xfId="0" applyNumberFormat="1" applyFont="1" applyBorder="1" applyAlignment="1">
      <alignment horizontal="center" vertical="center"/>
    </xf>
    <xf numFmtId="0" fontId="16" fillId="0" borderId="2" xfId="0" applyFont="1" applyBorder="1" applyAlignment="1">
      <alignment horizontal="left" vertical="center"/>
    </xf>
    <xf numFmtId="14" fontId="16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/>
    </xf>
    <xf numFmtId="0" fontId="0" fillId="5" borderId="0" xfId="0" applyFont="1" applyFill="1" applyAlignment="1"/>
    <xf numFmtId="0" fontId="0" fillId="5" borderId="9" xfId="0" applyFont="1" applyFill="1" applyBorder="1" applyAlignment="1"/>
    <xf numFmtId="0" fontId="0" fillId="5" borderId="3" xfId="0" applyFont="1" applyFill="1" applyBorder="1" applyAlignment="1"/>
    <xf numFmtId="0" fontId="0" fillId="5" borderId="4" xfId="0" applyFont="1" applyFill="1" applyBorder="1" applyAlignment="1"/>
    <xf numFmtId="0" fontId="0" fillId="5" borderId="5" xfId="0" applyFont="1" applyFill="1" applyBorder="1" applyAlignment="1"/>
    <xf numFmtId="14" fontId="0" fillId="5" borderId="3" xfId="0" applyNumberFormat="1" applyFont="1" applyFill="1" applyBorder="1" applyAlignment="1"/>
    <xf numFmtId="14" fontId="0" fillId="5" borderId="11" xfId="0" applyNumberFormat="1" applyFont="1" applyFill="1" applyBorder="1" applyAlignment="1"/>
    <xf numFmtId="0" fontId="0" fillId="5" borderId="7" xfId="0" applyFont="1" applyFill="1" applyBorder="1" applyAlignment="1"/>
    <xf numFmtId="0" fontId="0" fillId="5" borderId="3" xfId="0" applyFont="1" applyFill="1" applyBorder="1" applyAlignment="1">
      <alignment horizontal="left"/>
    </xf>
    <xf numFmtId="0" fontId="0" fillId="5" borderId="3" xfId="0" applyNumberFormat="1" applyFont="1" applyFill="1" applyBorder="1" applyAlignment="1"/>
    <xf numFmtId="0" fontId="0" fillId="5" borderId="11" xfId="0" applyNumberFormat="1" applyFont="1" applyFill="1" applyBorder="1" applyAlignment="1"/>
    <xf numFmtId="0" fontId="0" fillId="5" borderId="7" xfId="0" applyNumberFormat="1" applyFont="1" applyFill="1" applyBorder="1" applyAlignment="1"/>
    <xf numFmtId="0" fontId="0" fillId="5" borderId="6" xfId="0" applyFont="1" applyFill="1" applyBorder="1" applyAlignment="1">
      <alignment horizontal="left"/>
    </xf>
    <xf numFmtId="0" fontId="0" fillId="5" borderId="6" xfId="0" applyNumberFormat="1" applyFont="1" applyFill="1" applyBorder="1" applyAlignment="1"/>
    <xf numFmtId="0" fontId="0" fillId="5" borderId="13" xfId="0" applyNumberFormat="1" applyFont="1" applyFill="1" applyBorder="1" applyAlignment="1"/>
    <xf numFmtId="0" fontId="0" fillId="5" borderId="8" xfId="0" applyNumberFormat="1" applyFont="1" applyFill="1" applyBorder="1" applyAlignment="1"/>
    <xf numFmtId="0" fontId="0" fillId="5" borderId="10" xfId="0" applyFont="1" applyFill="1" applyBorder="1" applyAlignment="1">
      <alignment horizontal="left"/>
    </xf>
    <xf numFmtId="0" fontId="0" fillId="5" borderId="10" xfId="0" applyNumberFormat="1" applyFont="1" applyFill="1" applyBorder="1" applyAlignment="1"/>
    <xf numFmtId="0" fontId="0" fillId="5" borderId="12" xfId="0" applyNumberFormat="1" applyFont="1" applyFill="1" applyBorder="1" applyAlignment="1"/>
    <xf numFmtId="0" fontId="0" fillId="5" borderId="9" xfId="0" applyNumberFormat="1" applyFont="1" applyFill="1" applyBorder="1" applyAlignment="1"/>
    <xf numFmtId="0" fontId="0" fillId="7" borderId="0" xfId="0" applyFont="1" applyFill="1" applyAlignment="1"/>
    <xf numFmtId="0" fontId="1" fillId="7" borderId="0" xfId="0" applyFont="1" applyFill="1" applyAlignment="1"/>
    <xf numFmtId="0" fontId="21" fillId="7" borderId="0" xfId="2" applyFill="1" applyAlignment="1"/>
    <xf numFmtId="0" fontId="19" fillId="6" borderId="15" xfId="1" applyFont="1" applyFill="1" applyBorder="1" applyAlignment="1">
      <alignment vertical="center"/>
    </xf>
    <xf numFmtId="0" fontId="21" fillId="7" borderId="16" xfId="2" applyFill="1" applyBorder="1" applyAlignment="1">
      <alignment vertical="center"/>
    </xf>
    <xf numFmtId="0" fontId="21" fillId="7" borderId="16" xfId="2" quotePrefix="1" applyFill="1" applyBorder="1" applyAlignment="1">
      <alignment vertical="center"/>
    </xf>
    <xf numFmtId="0" fontId="21" fillId="7" borderId="17" xfId="2" applyFill="1" applyBorder="1" applyAlignment="1">
      <alignment vertical="center"/>
    </xf>
    <xf numFmtId="0" fontId="22" fillId="6" borderId="9" xfId="0" applyFont="1" applyFill="1" applyBorder="1" applyAlignment="1">
      <alignment horizontal="center" vertical="center"/>
    </xf>
    <xf numFmtId="0" fontId="22" fillId="6" borderId="3" xfId="0" applyFont="1" applyFill="1" applyBorder="1" applyAlignment="1">
      <alignment horizontal="center" vertical="center"/>
    </xf>
    <xf numFmtId="0" fontId="20" fillId="6" borderId="0" xfId="0" applyFont="1" applyFill="1" applyAlignment="1">
      <alignment horizontal="center" vertical="center"/>
    </xf>
  </cellXfs>
  <cellStyles count="3">
    <cellStyle name="Encabezado 1" xfId="1" builtinId="16"/>
    <cellStyle name="Hipervínculo" xfId="2" builtinId="8"/>
    <cellStyle name="Normal" xfId="0" builtinId="0"/>
  </cellStyles>
  <dxfs count="84">
    <dxf>
      <font>
        <b/>
      </font>
    </dxf>
    <dxf>
      <alignment horizontal="center" readingOrder="0"/>
    </dxf>
    <dxf>
      <alignment vertical="center" readingOrder="0"/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color theme="0"/>
      </font>
    </dxf>
    <dxf>
      <fill>
        <patternFill>
          <bgColor theme="4"/>
        </patternFill>
      </fill>
    </dxf>
    <dxf>
      <alignment horizontal="center" readingOrder="0"/>
    </dxf>
    <dxf>
      <alignment vertical="center" readingOrder="0"/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b/>
      </font>
    </dxf>
    <dxf>
      <fill>
        <patternFill patternType="solid">
          <bgColor theme="4"/>
        </patternFill>
      </fill>
    </dxf>
    <dxf>
      <font>
        <color theme="0"/>
      </font>
    </dxf>
    <dxf>
      <fill>
        <patternFill>
          <bgColor theme="4"/>
        </patternFill>
      </fill>
    </dxf>
    <dxf>
      <font>
        <b/>
      </font>
    </dxf>
    <dxf>
      <font>
        <color theme="0"/>
      </font>
    </dxf>
    <dxf>
      <alignment horizontal="center" readingOrder="0"/>
    </dxf>
    <dxf>
      <alignment horizontal="left" readingOrder="0"/>
    </dxf>
    <dxf>
      <alignment vertical="center" readingOrder="0"/>
    </dxf>
    <dxf>
      <fill>
        <patternFill>
          <bgColor theme="4" tint="0.39997558519241921"/>
        </patternFill>
      </fill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b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color theme="0"/>
      </font>
    </dxf>
    <dxf>
      <alignment horizontal="center" readingOrder="0"/>
    </dxf>
    <dxf>
      <alignment vertical="center" readingOrder="0"/>
    </dxf>
    <dxf>
      <fill>
        <patternFill patternType="solid">
          <bgColor theme="4"/>
        </patternFill>
      </fill>
    </dxf>
    <dxf>
      <fill>
        <patternFill>
          <bgColor theme="4"/>
        </patternFill>
      </fill>
    </dxf>
    <dxf>
      <font>
        <b/>
      </font>
    </dxf>
    <dxf>
      <fill>
        <patternFill>
          <bgColor theme="4"/>
        </patternFill>
      </fill>
    </dxf>
    <dxf>
      <font>
        <color theme="0"/>
      </font>
    </dxf>
    <dxf>
      <alignment horizontal="center" readingOrder="0"/>
    </dxf>
    <dxf>
      <alignment vertical="center" readingOrder="0"/>
    </dxf>
    <dxf>
      <font>
        <b/>
      </font>
    </dxf>
    <dxf>
      <font>
        <color theme="0"/>
      </font>
    </dxf>
    <dxf>
      <alignment horizontal="center" readingOrder="0"/>
    </dxf>
    <dxf>
      <alignment horizontal="left" readingOrder="0"/>
    </dxf>
    <dxf>
      <alignment vertical="center" readingOrder="0"/>
    </dxf>
    <dxf>
      <fill>
        <patternFill>
          <bgColor theme="4" tint="0.39997558519241921"/>
        </patternFill>
      </fill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numFmt numFmtId="164" formatCode="d/m/yyyy"/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ill>
        <patternFill patternType="solid">
          <fgColor indexed="64"/>
          <bgColor theme="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2"/>
        </patternFill>
      </fill>
      <alignment horizontal="general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color theme="0"/>
        <name val="Calibri"/>
        <scheme val="minor"/>
      </font>
      <fill>
        <patternFill patternType="solid">
          <fgColor indexed="64"/>
          <bgColor theme="4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Productos-style" pivot="0" count="2" xr9:uid="{00000000-0011-0000-FFFF-FFFF00000000}">
      <tableStyleElement type="firstRowStripe" dxfId="83"/>
      <tableStyleElement type="secondRowStripe" dxfId="8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[Recurso Actividad 2. Control de Stock.xlsx]Control de stock!TablaDinámica5</c:name>
    <c:fmtId val="14"/>
  </c:pivotSource>
  <c:chart>
    <c:autoTitleDeleted val="1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9958045482381133E-2"/>
          <c:y val="5.7478830757539359E-2"/>
          <c:w val="0.90847204953310301"/>
          <c:h val="0.887684470341078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'Control de stock'!$B$8:$B$9</c:f>
              <c:strCache>
                <c:ptCount val="1"/>
                <c:pt idx="0">
                  <c:v>01/05/2021</c:v>
                </c:pt>
              </c:strCache>
            </c:strRef>
          </c:tx>
          <c:spPr>
            <a:solidFill>
              <a:schemeClr val="accent1">
                <a:shade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'Control de stock'!$A$10:$A$14</c:f>
              <c:strCache>
                <c:ptCount val="4"/>
                <c:pt idx="0">
                  <c:v>Consola de viodeo juegos</c:v>
                </c:pt>
                <c:pt idx="1">
                  <c:v>Ordenadores portátiles</c:v>
                </c:pt>
                <c:pt idx="2">
                  <c:v>Pulseras inteligentes</c:v>
                </c:pt>
                <c:pt idx="3">
                  <c:v>Tabletas digitales</c:v>
                </c:pt>
              </c:strCache>
            </c:strRef>
          </c:cat>
          <c:val>
            <c:numRef>
              <c:f>'Control de stock'!$B$10:$B$14</c:f>
              <c:numCache>
                <c:formatCode>General</c:formatCode>
                <c:ptCount val="4"/>
                <c:pt idx="0">
                  <c:v>250</c:v>
                </c:pt>
                <c:pt idx="1">
                  <c:v>100</c:v>
                </c:pt>
                <c:pt idx="2">
                  <c:v>150</c:v>
                </c:pt>
                <c:pt idx="3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4E-4E8E-815B-B43737E1F831}"/>
            </c:ext>
          </c:extLst>
        </c:ser>
        <c:ser>
          <c:idx val="1"/>
          <c:order val="1"/>
          <c:tx>
            <c:strRef>
              <c:f>'Control de stock'!$C$8:$C$9</c:f>
              <c:strCache>
                <c:ptCount val="1"/>
                <c:pt idx="0">
                  <c:v>02/05/2021</c:v>
                </c:pt>
              </c:strCache>
            </c:strRef>
          </c:tx>
          <c:spPr>
            <a:solidFill>
              <a:schemeClr val="accent1">
                <a:shade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'Control de stock'!$A$10:$A$14</c:f>
              <c:strCache>
                <c:ptCount val="4"/>
                <c:pt idx="0">
                  <c:v>Consola de viodeo juegos</c:v>
                </c:pt>
                <c:pt idx="1">
                  <c:v>Ordenadores portátiles</c:v>
                </c:pt>
                <c:pt idx="2">
                  <c:v>Pulseras inteligentes</c:v>
                </c:pt>
                <c:pt idx="3">
                  <c:v>Tabletas digitales</c:v>
                </c:pt>
              </c:strCache>
            </c:strRef>
          </c:cat>
          <c:val>
            <c:numRef>
              <c:f>'Control de stock'!$C$10:$C$14</c:f>
              <c:numCache>
                <c:formatCode>General</c:formatCode>
                <c:ptCount val="4"/>
                <c:pt idx="0">
                  <c:v>20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4E-4E8E-815B-B43737E1F831}"/>
            </c:ext>
          </c:extLst>
        </c:ser>
        <c:ser>
          <c:idx val="2"/>
          <c:order val="2"/>
          <c:tx>
            <c:strRef>
              <c:f>'Control de stock'!$D$8:$D$9</c:f>
              <c:strCache>
                <c:ptCount val="1"/>
                <c:pt idx="0">
                  <c:v>03/05/2021</c:v>
                </c:pt>
              </c:strCache>
            </c:strRef>
          </c:tx>
          <c:spPr>
            <a:solidFill>
              <a:schemeClr val="accent1">
                <a:shade val="90000"/>
              </a:schemeClr>
            </a:solidFill>
            <a:ln>
              <a:noFill/>
            </a:ln>
            <a:effectLst/>
          </c:spPr>
          <c:invertIfNegative val="0"/>
          <c:cat>
            <c:strRef>
              <c:f>'Control de stock'!$A$10:$A$14</c:f>
              <c:strCache>
                <c:ptCount val="4"/>
                <c:pt idx="0">
                  <c:v>Consola de viodeo juegos</c:v>
                </c:pt>
                <c:pt idx="1">
                  <c:v>Ordenadores portátiles</c:v>
                </c:pt>
                <c:pt idx="2">
                  <c:v>Pulseras inteligentes</c:v>
                </c:pt>
                <c:pt idx="3">
                  <c:v>Tabletas digitales</c:v>
                </c:pt>
              </c:strCache>
            </c:strRef>
          </c:cat>
          <c:val>
            <c:numRef>
              <c:f>'Control de stock'!$D$10:$D$14</c:f>
              <c:numCache>
                <c:formatCode>General</c:formatCode>
                <c:ptCount val="4"/>
                <c:pt idx="0">
                  <c:v>-50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4E-4E8E-815B-B43737E1F831}"/>
            </c:ext>
          </c:extLst>
        </c:ser>
        <c:ser>
          <c:idx val="3"/>
          <c:order val="3"/>
          <c:tx>
            <c:strRef>
              <c:f>'Control de stock'!$E$8:$E$9</c:f>
              <c:strCache>
                <c:ptCount val="1"/>
                <c:pt idx="0">
                  <c:v>04/05/2021</c:v>
                </c:pt>
              </c:strCache>
            </c:strRef>
          </c:tx>
          <c:spPr>
            <a:solidFill>
              <a:schemeClr val="accent1">
                <a:tint val="90000"/>
              </a:schemeClr>
            </a:solidFill>
            <a:ln>
              <a:noFill/>
            </a:ln>
            <a:effectLst/>
          </c:spPr>
          <c:invertIfNegative val="0"/>
          <c:cat>
            <c:strRef>
              <c:f>'Control de stock'!$A$10:$A$14</c:f>
              <c:strCache>
                <c:ptCount val="4"/>
                <c:pt idx="0">
                  <c:v>Consola de viodeo juegos</c:v>
                </c:pt>
                <c:pt idx="1">
                  <c:v>Ordenadores portátiles</c:v>
                </c:pt>
                <c:pt idx="2">
                  <c:v>Pulseras inteligentes</c:v>
                </c:pt>
                <c:pt idx="3">
                  <c:v>Tabletas digitales</c:v>
                </c:pt>
              </c:strCache>
            </c:strRef>
          </c:cat>
          <c:val>
            <c:numRef>
              <c:f>'Control de stock'!$E$10:$E$14</c:f>
              <c:numCache>
                <c:formatCode>General</c:formatCode>
                <c:ptCount val="4"/>
                <c:pt idx="2">
                  <c:v>-20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FF2-415B-BA68-B70F66D66124}"/>
            </c:ext>
          </c:extLst>
        </c:ser>
        <c:ser>
          <c:idx val="4"/>
          <c:order val="4"/>
          <c:tx>
            <c:strRef>
              <c:f>'Control de stock'!$F$8:$F$9</c:f>
              <c:strCache>
                <c:ptCount val="1"/>
                <c:pt idx="0">
                  <c:v>05/05/2021</c:v>
                </c:pt>
              </c:strCache>
            </c:strRef>
          </c:tx>
          <c:spPr>
            <a:solidFill>
              <a:schemeClr val="accent1">
                <a:tint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'Control de stock'!$A$10:$A$14</c:f>
              <c:strCache>
                <c:ptCount val="4"/>
                <c:pt idx="0">
                  <c:v>Consola de viodeo juegos</c:v>
                </c:pt>
                <c:pt idx="1">
                  <c:v>Ordenadores portátiles</c:v>
                </c:pt>
                <c:pt idx="2">
                  <c:v>Pulseras inteligentes</c:v>
                </c:pt>
                <c:pt idx="3">
                  <c:v>Tabletas digitales</c:v>
                </c:pt>
              </c:strCache>
            </c:strRef>
          </c:cat>
          <c:val>
            <c:numRef>
              <c:f>'Control de stock'!$F$10:$F$14</c:f>
              <c:numCache>
                <c:formatCode>General</c:formatCode>
                <c:ptCount val="4"/>
                <c:pt idx="3">
                  <c:v>-60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FF2-415B-BA68-B70F66D66124}"/>
            </c:ext>
          </c:extLst>
        </c:ser>
        <c:ser>
          <c:idx val="5"/>
          <c:order val="5"/>
          <c:tx>
            <c:strRef>
              <c:f>'Control de stock'!$G$8:$G$9</c:f>
              <c:strCache>
                <c:ptCount val="1"/>
                <c:pt idx="0">
                  <c:v>06/05/2021</c:v>
                </c:pt>
              </c:strCache>
            </c:strRef>
          </c:tx>
          <c:spPr>
            <a:solidFill>
              <a:schemeClr val="accent1">
                <a:tint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'Control de stock'!$A$10:$A$14</c:f>
              <c:strCache>
                <c:ptCount val="4"/>
                <c:pt idx="0">
                  <c:v>Consola de viodeo juegos</c:v>
                </c:pt>
                <c:pt idx="1">
                  <c:v>Ordenadores portátiles</c:v>
                </c:pt>
                <c:pt idx="2">
                  <c:v>Pulseras inteligentes</c:v>
                </c:pt>
                <c:pt idx="3">
                  <c:v>Tabletas digitales</c:v>
                </c:pt>
              </c:strCache>
            </c:strRef>
          </c:cat>
          <c:val>
            <c:numRef>
              <c:f>'Control de stock'!$G$10:$G$14</c:f>
              <c:numCache>
                <c:formatCode>General</c:formatCode>
                <c:ptCount val="4"/>
                <c:pt idx="1">
                  <c:v>-10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FF2-415B-BA68-B70F66D661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4149784"/>
        <c:axId val="395476680"/>
      </c:barChart>
      <c:catAx>
        <c:axId val="504149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395476680"/>
        <c:crosses val="autoZero"/>
        <c:auto val="1"/>
        <c:lblAlgn val="ctr"/>
        <c:lblOffset val="100"/>
        <c:noMultiLvlLbl val="0"/>
      </c:catAx>
      <c:valAx>
        <c:axId val="39547668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04149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[Recurso Actividad 2. Control de Stock.xlsx]Control de stock!TablaDinámica3</c:name>
    <c:fmtId val="27"/>
  </c:pivotSource>
  <c:chart>
    <c:autoTitleDeleted val="1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</c:pivotFmt>
      <c:pivotFmt>
        <c:idx val="26"/>
      </c:pivotFmt>
      <c:pivotFmt>
        <c:idx val="27"/>
      </c:pivotFmt>
      <c:pivotFmt>
        <c:idx val="28"/>
      </c:pivotFmt>
      <c:pivotFmt>
        <c:idx val="29"/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3602351626040176E-2"/>
          <c:y val="4.8726467331118496E-2"/>
          <c:w val="0.91121879881066725"/>
          <c:h val="0.8485126568481264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'Control de stock'!$B$19:$B$20</c:f>
              <c:strCache>
                <c:ptCount val="1"/>
                <c:pt idx="0">
                  <c:v>01/05/2021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'Control de stock'!$A$21:$A$24</c:f>
              <c:strCache>
                <c:ptCount val="3"/>
                <c:pt idx="0">
                  <c:v>Compra</c:v>
                </c:pt>
                <c:pt idx="1">
                  <c:v>Existencia</c:v>
                </c:pt>
                <c:pt idx="2">
                  <c:v>Venta</c:v>
                </c:pt>
              </c:strCache>
            </c:strRef>
          </c:cat>
          <c:val>
            <c:numRef>
              <c:f>'Control de stock'!$B$21:$B$24</c:f>
              <c:numCache>
                <c:formatCode>General</c:formatCode>
                <c:ptCount val="3"/>
                <c:pt idx="1">
                  <c:v>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11-4E30-90D9-E1E09196204F}"/>
            </c:ext>
          </c:extLst>
        </c:ser>
        <c:ser>
          <c:idx val="1"/>
          <c:order val="1"/>
          <c:tx>
            <c:strRef>
              <c:f>'Control de stock'!$C$19:$C$20</c:f>
              <c:strCache>
                <c:ptCount val="1"/>
                <c:pt idx="0">
                  <c:v>02/05/2021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'Control de stock'!$A$21:$A$24</c:f>
              <c:strCache>
                <c:ptCount val="3"/>
                <c:pt idx="0">
                  <c:v>Compra</c:v>
                </c:pt>
                <c:pt idx="1">
                  <c:v>Existencia</c:v>
                </c:pt>
                <c:pt idx="2">
                  <c:v>Venta</c:v>
                </c:pt>
              </c:strCache>
            </c:strRef>
          </c:cat>
          <c:val>
            <c:numRef>
              <c:f>'Control de stock'!$C$21:$C$24</c:f>
              <c:numCache>
                <c:formatCode>General</c:formatCode>
                <c:ptCount val="3"/>
                <c:pt idx="0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11-4E30-90D9-E1E09196204F}"/>
            </c:ext>
          </c:extLst>
        </c:ser>
        <c:ser>
          <c:idx val="2"/>
          <c:order val="2"/>
          <c:tx>
            <c:strRef>
              <c:f>'Control de stock'!$D$19:$D$20</c:f>
              <c:strCache>
                <c:ptCount val="1"/>
                <c:pt idx="0">
                  <c:v>03/05/2021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'Control de stock'!$A$21:$A$24</c:f>
              <c:strCache>
                <c:ptCount val="3"/>
                <c:pt idx="0">
                  <c:v>Compra</c:v>
                </c:pt>
                <c:pt idx="1">
                  <c:v>Existencia</c:v>
                </c:pt>
                <c:pt idx="2">
                  <c:v>Venta</c:v>
                </c:pt>
              </c:strCache>
            </c:strRef>
          </c:cat>
          <c:val>
            <c:numRef>
              <c:f>'Control de stock'!$D$21:$D$24</c:f>
              <c:numCache>
                <c:formatCode>General</c:formatCode>
                <c:ptCount val="3"/>
                <c:pt idx="2">
                  <c:v>-50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11-4E30-90D9-E1E09196204F}"/>
            </c:ext>
          </c:extLst>
        </c:ser>
        <c:ser>
          <c:idx val="3"/>
          <c:order val="3"/>
          <c:tx>
            <c:strRef>
              <c:f>'Control de stock'!$E$19:$E$20</c:f>
              <c:strCache>
                <c:ptCount val="1"/>
                <c:pt idx="0">
                  <c:v>04/05/2021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'Control de stock'!$A$21:$A$24</c:f>
              <c:strCache>
                <c:ptCount val="3"/>
                <c:pt idx="0">
                  <c:v>Compra</c:v>
                </c:pt>
                <c:pt idx="1">
                  <c:v>Existencia</c:v>
                </c:pt>
                <c:pt idx="2">
                  <c:v>Venta</c:v>
                </c:pt>
              </c:strCache>
            </c:strRef>
          </c:cat>
          <c:val>
            <c:numRef>
              <c:f>'Control de stock'!$E$21:$E$24</c:f>
              <c:numCache>
                <c:formatCode>General</c:formatCode>
                <c:ptCount val="3"/>
                <c:pt idx="2">
                  <c:v>-20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11-4E30-90D9-E1E09196204F}"/>
            </c:ext>
          </c:extLst>
        </c:ser>
        <c:ser>
          <c:idx val="4"/>
          <c:order val="4"/>
          <c:tx>
            <c:strRef>
              <c:f>'Control de stock'!$F$19:$F$20</c:f>
              <c:strCache>
                <c:ptCount val="1"/>
                <c:pt idx="0">
                  <c:v>05/05/2021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'Control de stock'!$A$21:$A$24</c:f>
              <c:strCache>
                <c:ptCount val="3"/>
                <c:pt idx="0">
                  <c:v>Compra</c:v>
                </c:pt>
                <c:pt idx="1">
                  <c:v>Existencia</c:v>
                </c:pt>
                <c:pt idx="2">
                  <c:v>Venta</c:v>
                </c:pt>
              </c:strCache>
            </c:strRef>
          </c:cat>
          <c:val>
            <c:numRef>
              <c:f>'Control de stock'!$F$21:$F$24</c:f>
              <c:numCache>
                <c:formatCode>General</c:formatCode>
                <c:ptCount val="3"/>
                <c:pt idx="2">
                  <c:v>-60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11-4E30-90D9-E1E09196204F}"/>
            </c:ext>
          </c:extLst>
        </c:ser>
        <c:ser>
          <c:idx val="5"/>
          <c:order val="5"/>
          <c:tx>
            <c:strRef>
              <c:f>'Control de stock'!$G$19:$G$20</c:f>
              <c:strCache>
                <c:ptCount val="1"/>
                <c:pt idx="0">
                  <c:v>06/05/2021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'Control de stock'!$A$21:$A$24</c:f>
              <c:strCache>
                <c:ptCount val="3"/>
                <c:pt idx="0">
                  <c:v>Compra</c:v>
                </c:pt>
                <c:pt idx="1">
                  <c:v>Existencia</c:v>
                </c:pt>
                <c:pt idx="2">
                  <c:v>Venta</c:v>
                </c:pt>
              </c:strCache>
            </c:strRef>
          </c:cat>
          <c:val>
            <c:numRef>
              <c:f>'Control de stock'!$G$21:$G$24</c:f>
              <c:numCache>
                <c:formatCode>General</c:formatCode>
                <c:ptCount val="3"/>
                <c:pt idx="2">
                  <c:v>-10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011-4E30-90D9-E1E0919620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91956008"/>
        <c:axId val="491949120"/>
      </c:barChart>
      <c:catAx>
        <c:axId val="491956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91949120"/>
        <c:crosses val="autoZero"/>
        <c:auto val="1"/>
        <c:lblAlgn val="ctr"/>
        <c:lblOffset val="100"/>
        <c:noMultiLvlLbl val="0"/>
      </c:catAx>
      <c:valAx>
        <c:axId val="491949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491956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'Compras y Ventas'!$G$8</c:f>
              <c:strCache>
                <c:ptCount val="1"/>
                <c:pt idx="0">
                  <c:v>CANTIDAD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'Compras y Ventas'!$B$9:$F$18</c:f>
              <c:multiLvlStrCache>
                <c:ptCount val="10"/>
                <c:lvl>
                  <c:pt idx="0">
                    <c:v>Consola de viodeo juegos</c:v>
                  </c:pt>
                  <c:pt idx="1">
                    <c:v>Pulseras inteligentes</c:v>
                  </c:pt>
                  <c:pt idx="2">
                    <c:v>Tabletas digitales</c:v>
                  </c:pt>
                  <c:pt idx="3">
                    <c:v>Ordenadores portátiles</c:v>
                  </c:pt>
                  <c:pt idx="4">
                    <c:v>Tabletas digitales</c:v>
                  </c:pt>
                  <c:pt idx="5">
                    <c:v>Consola de viodeo juegos</c:v>
                  </c:pt>
                  <c:pt idx="6">
                    <c:v>Consola de viodeo juegos</c:v>
                  </c:pt>
                  <c:pt idx="7">
                    <c:v>Pulseras inteligentes</c:v>
                  </c:pt>
                  <c:pt idx="8">
                    <c:v>Tabletas digitales</c:v>
                  </c:pt>
                  <c:pt idx="9">
                    <c:v>Ordenadores portátiles</c:v>
                  </c:pt>
                </c:lvl>
                <c:lvl>
                  <c:pt idx="0">
                    <c:v>3456</c:v>
                  </c:pt>
                  <c:pt idx="1">
                    <c:v>3567</c:v>
                  </c:pt>
                  <c:pt idx="2">
                    <c:v>4576</c:v>
                  </c:pt>
                  <c:pt idx="3">
                    <c:v>4789</c:v>
                  </c:pt>
                  <c:pt idx="4">
                    <c:v>4576</c:v>
                  </c:pt>
                  <c:pt idx="5">
                    <c:v>3456</c:v>
                  </c:pt>
                  <c:pt idx="6">
                    <c:v>3456</c:v>
                  </c:pt>
                  <c:pt idx="7">
                    <c:v>3567</c:v>
                  </c:pt>
                  <c:pt idx="8">
                    <c:v>4576</c:v>
                  </c:pt>
                  <c:pt idx="9">
                    <c:v>4789</c:v>
                  </c:pt>
                </c:lvl>
                <c:lvl>
                  <c:pt idx="0">
                    <c:v>A001</c:v>
                  </c:pt>
                  <c:pt idx="1">
                    <c:v>A002</c:v>
                  </c:pt>
                  <c:pt idx="2">
                    <c:v>A003</c:v>
                  </c:pt>
                  <c:pt idx="3">
                    <c:v>A004</c:v>
                  </c:pt>
                  <c:pt idx="4">
                    <c:v>A003</c:v>
                  </c:pt>
                  <c:pt idx="5">
                    <c:v>A001</c:v>
                  </c:pt>
                  <c:pt idx="6">
                    <c:v>A001</c:v>
                  </c:pt>
                  <c:pt idx="7">
                    <c:v>A002</c:v>
                  </c:pt>
                  <c:pt idx="8">
                    <c:v>A003</c:v>
                  </c:pt>
                  <c:pt idx="9">
                    <c:v>A004</c:v>
                  </c:pt>
                </c:lvl>
                <c:lvl>
                  <c:pt idx="0">
                    <c:v>Existencia</c:v>
                  </c:pt>
                  <c:pt idx="1">
                    <c:v>Existencia</c:v>
                  </c:pt>
                  <c:pt idx="2">
                    <c:v>Existencia</c:v>
                  </c:pt>
                  <c:pt idx="3">
                    <c:v>Existencia</c:v>
                  </c:pt>
                  <c:pt idx="4">
                    <c:v>Compra</c:v>
                  </c:pt>
                  <c:pt idx="5">
                    <c:v>Compra</c:v>
                  </c:pt>
                  <c:pt idx="6">
                    <c:v>Venta</c:v>
                  </c:pt>
                  <c:pt idx="7">
                    <c:v>Venta</c:v>
                  </c:pt>
                  <c:pt idx="8">
                    <c:v>Venta</c:v>
                  </c:pt>
                  <c:pt idx="9">
                    <c:v>Venta</c:v>
                  </c:pt>
                </c:lvl>
                <c:lvl>
                  <c:pt idx="0">
                    <c:v>01/05/2021</c:v>
                  </c:pt>
                  <c:pt idx="1">
                    <c:v>01/05/2021</c:v>
                  </c:pt>
                  <c:pt idx="2">
                    <c:v>01/05/2021</c:v>
                  </c:pt>
                  <c:pt idx="3">
                    <c:v>01/05/2021</c:v>
                  </c:pt>
                  <c:pt idx="4">
                    <c:v>02/05/2021</c:v>
                  </c:pt>
                  <c:pt idx="5">
                    <c:v>02/05/2021</c:v>
                  </c:pt>
                  <c:pt idx="6">
                    <c:v>03/05/2021</c:v>
                  </c:pt>
                  <c:pt idx="7">
                    <c:v>04/05/2021</c:v>
                  </c:pt>
                  <c:pt idx="8">
                    <c:v>05/05/2021</c:v>
                  </c:pt>
                  <c:pt idx="9">
                    <c:v>06/05/2021</c:v>
                  </c:pt>
                </c:lvl>
              </c:multiLvlStrCache>
            </c:multiLvlStrRef>
          </c:cat>
          <c:val>
            <c:numRef>
              <c:f>'Compras y Ventas'!$G$9:$G$18</c:f>
              <c:numCache>
                <c:formatCode>General</c:formatCode>
                <c:ptCount val="10"/>
                <c:pt idx="0">
                  <c:v>250</c:v>
                </c:pt>
                <c:pt idx="1">
                  <c:v>150</c:v>
                </c:pt>
                <c:pt idx="2">
                  <c:v>300</c:v>
                </c:pt>
                <c:pt idx="3">
                  <c:v>100</c:v>
                </c:pt>
                <c:pt idx="4" formatCode="0">
                  <c:v>100</c:v>
                </c:pt>
                <c:pt idx="5" formatCode="0">
                  <c:v>20</c:v>
                </c:pt>
                <c:pt idx="6" formatCode="0">
                  <c:v>-50</c:v>
                </c:pt>
                <c:pt idx="7" formatCode="0">
                  <c:v>-20</c:v>
                </c:pt>
                <c:pt idx="8" formatCode="0">
                  <c:v>-60</c:v>
                </c:pt>
                <c:pt idx="9">
                  <c:v>-10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6E-4B4C-9464-EEEC7621D8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416080"/>
        <c:axId val="441413128"/>
      </c:lineChart>
      <c:catAx>
        <c:axId val="4414160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41413128"/>
        <c:crosses val="autoZero"/>
        <c:auto val="1"/>
        <c:lblAlgn val="ctr"/>
        <c:lblOffset val="100"/>
        <c:noMultiLvlLbl val="0"/>
      </c:catAx>
      <c:valAx>
        <c:axId val="44141312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41416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'Compras y Ventas'!$G$8</c:f>
              <c:strCache>
                <c:ptCount val="1"/>
                <c:pt idx="0">
                  <c:v>CANTIDAD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197-4B88-9985-EB1C4ED3A0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197-4B88-9985-EB1C4ED3A09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197-4B88-9985-EB1C4ED3A09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197-4B88-9985-EB1C4ED3A09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197-4B88-9985-EB1C4ED3A09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197-4B88-9985-EB1C4ED3A095}"/>
              </c:ext>
            </c:extLst>
          </c:dPt>
          <c:cat>
            <c:multiLvlStrRef>
              <c:extLst>
                <c:ext xmlns:c15="http://schemas.microsoft.com/office/drawing/2012/chart" uri="{02D57815-91ED-43cb-92C2-25804820EDAC}">
                  <c15:fullRef>
                    <c15:sqref>'Compras y Ventas'!$B$9:$F$18</c15:sqref>
                  </c15:fullRef>
                </c:ext>
              </c:extLst>
              <c:f>'Compras y Ventas'!$B$9:$F$14</c:f>
              <c:multiLvlStrCache>
                <c:ptCount val="6"/>
                <c:lvl>
                  <c:pt idx="0">
                    <c:v>Consola de viodeo juegos</c:v>
                  </c:pt>
                  <c:pt idx="1">
                    <c:v>Pulseras inteligentes</c:v>
                  </c:pt>
                  <c:pt idx="2">
                    <c:v>Tabletas digitales</c:v>
                  </c:pt>
                  <c:pt idx="3">
                    <c:v>Ordenadores portátiles</c:v>
                  </c:pt>
                  <c:pt idx="4">
                    <c:v>Tabletas digitales</c:v>
                  </c:pt>
                  <c:pt idx="5">
                    <c:v>Consola de viodeo juegos</c:v>
                  </c:pt>
                </c:lvl>
                <c:lvl>
                  <c:pt idx="0">
                    <c:v>3456</c:v>
                  </c:pt>
                  <c:pt idx="1">
                    <c:v>3567</c:v>
                  </c:pt>
                  <c:pt idx="2">
                    <c:v>4576</c:v>
                  </c:pt>
                  <c:pt idx="3">
                    <c:v>4789</c:v>
                  </c:pt>
                  <c:pt idx="4">
                    <c:v>4576</c:v>
                  </c:pt>
                  <c:pt idx="5">
                    <c:v>3456</c:v>
                  </c:pt>
                </c:lvl>
                <c:lvl>
                  <c:pt idx="0">
                    <c:v>A001</c:v>
                  </c:pt>
                  <c:pt idx="1">
                    <c:v>A002</c:v>
                  </c:pt>
                  <c:pt idx="2">
                    <c:v>A003</c:v>
                  </c:pt>
                  <c:pt idx="3">
                    <c:v>A004</c:v>
                  </c:pt>
                  <c:pt idx="4">
                    <c:v>A003</c:v>
                  </c:pt>
                  <c:pt idx="5">
                    <c:v>A001</c:v>
                  </c:pt>
                </c:lvl>
                <c:lvl>
                  <c:pt idx="0">
                    <c:v>Existencia</c:v>
                  </c:pt>
                  <c:pt idx="1">
                    <c:v>Existencia</c:v>
                  </c:pt>
                  <c:pt idx="2">
                    <c:v>Existencia</c:v>
                  </c:pt>
                  <c:pt idx="3">
                    <c:v>Existencia</c:v>
                  </c:pt>
                  <c:pt idx="4">
                    <c:v>Compra</c:v>
                  </c:pt>
                  <c:pt idx="5">
                    <c:v>Compra</c:v>
                  </c:pt>
                </c:lvl>
                <c:lvl>
                  <c:pt idx="0">
                    <c:v>01/05/2021</c:v>
                  </c:pt>
                  <c:pt idx="1">
                    <c:v>01/05/2021</c:v>
                  </c:pt>
                  <c:pt idx="2">
                    <c:v>01/05/2021</c:v>
                  </c:pt>
                  <c:pt idx="3">
                    <c:v>01/05/2021</c:v>
                  </c:pt>
                  <c:pt idx="4">
                    <c:v>02/05/2021</c:v>
                  </c:pt>
                  <c:pt idx="5">
                    <c:v>02/05/2021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'Compras y Ventas'!$G$9:$G$18</c15:sqref>
                  </c15:fullRef>
                </c:ext>
              </c:extLst>
              <c:f>'Compras y Ventas'!$G$9:$G$14</c:f>
              <c:numCache>
                <c:formatCode>General</c:formatCode>
                <c:ptCount val="6"/>
                <c:pt idx="0">
                  <c:v>250</c:v>
                </c:pt>
                <c:pt idx="1">
                  <c:v>150</c:v>
                </c:pt>
                <c:pt idx="2">
                  <c:v>300</c:v>
                </c:pt>
                <c:pt idx="3">
                  <c:v>100</c:v>
                </c:pt>
                <c:pt idx="4" formatCode="0">
                  <c:v>100</c:v>
                </c:pt>
                <c:pt idx="5" formatCode="0">
                  <c:v>20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14-1197-4B88-9985-EB1C4ED3A0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676275</xdr:colOff>
      <xdr:row>0</xdr:row>
      <xdr:rowOff>0</xdr:rowOff>
    </xdr:from>
    <xdr:to>
      <xdr:col>9</xdr:col>
      <xdr:colOff>180975</xdr:colOff>
      <xdr:row>5</xdr:row>
      <xdr:rowOff>66675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200275" y="0"/>
          <a:ext cx="4838700" cy="11239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400" b="1" i="0"/>
            <a:t>Dashboard</a:t>
          </a:r>
        </a:p>
      </xdr:txBody>
    </xdr:sp>
    <xdr:clientData/>
  </xdr:twoCellAnchor>
  <xdr:twoCellAnchor>
    <xdr:from>
      <xdr:col>1</xdr:col>
      <xdr:colOff>466725</xdr:colOff>
      <xdr:row>20</xdr:row>
      <xdr:rowOff>152400</xdr:rowOff>
    </xdr:from>
    <xdr:to>
      <xdr:col>4</xdr:col>
      <xdr:colOff>400050</xdr:colOff>
      <xdr:row>24</xdr:row>
      <xdr:rowOff>133350</xdr:rowOff>
    </xdr:to>
    <xdr:sp macro="" textlink="">
      <xdr:nvSpPr>
        <xdr:cNvPr id="3" name="Rectángulo redondead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228725" y="3962400"/>
          <a:ext cx="2219325" cy="7429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600" b="1"/>
            <a:t>Stock</a:t>
          </a:r>
        </a:p>
      </xdr:txBody>
    </xdr:sp>
    <xdr:clientData/>
  </xdr:twoCellAnchor>
  <xdr:twoCellAnchor>
    <xdr:from>
      <xdr:col>8</xdr:col>
      <xdr:colOff>723900</xdr:colOff>
      <xdr:row>20</xdr:row>
      <xdr:rowOff>142875</xdr:rowOff>
    </xdr:from>
    <xdr:to>
      <xdr:col>11</xdr:col>
      <xdr:colOff>657225</xdr:colOff>
      <xdr:row>24</xdr:row>
      <xdr:rowOff>123825</xdr:rowOff>
    </xdr:to>
    <xdr:sp macro="" textlink="">
      <xdr:nvSpPr>
        <xdr:cNvPr id="4" name="Rectángulo redondead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6819900" y="4057650"/>
          <a:ext cx="2219325" cy="7429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600" b="1"/>
            <a:t>Volumen</a:t>
          </a:r>
          <a:endParaRPr lang="en-US" sz="3200" b="1"/>
        </a:p>
      </xdr:txBody>
    </xdr:sp>
    <xdr:clientData/>
  </xdr:twoCellAnchor>
  <xdr:twoCellAnchor>
    <xdr:from>
      <xdr:col>0</xdr:col>
      <xdr:colOff>309560</xdr:colOff>
      <xdr:row>25</xdr:row>
      <xdr:rowOff>123825</xdr:rowOff>
    </xdr:from>
    <xdr:to>
      <xdr:col>5</xdr:col>
      <xdr:colOff>628649</xdr:colOff>
      <xdr:row>39</xdr:row>
      <xdr:rowOff>4389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757236</xdr:colOff>
      <xdr:row>25</xdr:row>
      <xdr:rowOff>95249</xdr:rowOff>
    </xdr:from>
    <xdr:to>
      <xdr:col>12</xdr:col>
      <xdr:colOff>533399</xdr:colOff>
      <xdr:row>40</xdr:row>
      <xdr:rowOff>104774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171450</xdr:colOff>
      <xdr:row>47</xdr:row>
      <xdr:rowOff>95250</xdr:rowOff>
    </xdr:from>
    <xdr:to>
      <xdr:col>10</xdr:col>
      <xdr:colOff>323850</xdr:colOff>
      <xdr:row>61</xdr:row>
      <xdr:rowOff>171450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504825</xdr:colOff>
      <xdr:row>42</xdr:row>
      <xdr:rowOff>171450</xdr:rowOff>
    </xdr:from>
    <xdr:to>
      <xdr:col>9</xdr:col>
      <xdr:colOff>742950</xdr:colOff>
      <xdr:row>46</xdr:row>
      <xdr:rowOff>152400</xdr:rowOff>
    </xdr:to>
    <xdr:sp macro="" textlink="">
      <xdr:nvSpPr>
        <xdr:cNvPr id="11" name="Rectángulo redondeado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2028825" y="8277225"/>
          <a:ext cx="5572125" cy="7429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600" b="1"/>
            <a:t>Tendencia de compra</a:t>
          </a:r>
        </a:p>
      </xdr:txBody>
    </xdr:sp>
    <xdr:clientData/>
  </xdr:twoCellAnchor>
  <xdr:twoCellAnchor>
    <xdr:from>
      <xdr:col>4</xdr:col>
      <xdr:colOff>161925</xdr:colOff>
      <xdr:row>6</xdr:row>
      <xdr:rowOff>19050</xdr:rowOff>
    </xdr:from>
    <xdr:to>
      <xdr:col>10</xdr:col>
      <xdr:colOff>161925</xdr:colOff>
      <xdr:row>20</xdr:row>
      <xdr:rowOff>95250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6</xdr:row>
      <xdr:rowOff>76200</xdr:rowOff>
    </xdr:from>
    <xdr:to>
      <xdr:col>5</xdr:col>
      <xdr:colOff>66675</xdr:colOff>
      <xdr:row>10</xdr:row>
      <xdr:rowOff>57150</xdr:rowOff>
    </xdr:to>
    <xdr:sp macro="" textlink="">
      <xdr:nvSpPr>
        <xdr:cNvPr id="13" name="Rectángulo redondead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0" y="1219200"/>
          <a:ext cx="3876675" cy="7429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600" b="1"/>
            <a:t>Productos totales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180975</xdr:rowOff>
    </xdr:from>
    <xdr:ext cx="2933700" cy="3810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3883913" y="3594263"/>
          <a:ext cx="2924175" cy="3714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400"/>
            <a:buFont typeface="Calibri"/>
            <a:buNone/>
          </a:pPr>
          <a:r>
            <a:rPr lang="en-US" sz="24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Control de Stock</a:t>
          </a:r>
          <a:endParaRPr sz="2400" b="1">
            <a:solidFill>
              <a:schemeClr val="lt1"/>
            </a:solidFill>
          </a:endParaRPr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95250</xdr:colOff>
      <xdr:row>1</xdr:row>
      <xdr:rowOff>161925</xdr:rowOff>
    </xdr:from>
    <xdr:ext cx="2876550" cy="3810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3912488" y="3594263"/>
          <a:ext cx="2867025" cy="3714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400"/>
            <a:buFont typeface="Calibri"/>
            <a:buNone/>
          </a:pPr>
          <a:r>
            <a:rPr lang="en-US" sz="24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Control de Stock</a:t>
          </a:r>
          <a:endParaRPr sz="2400" b="1">
            <a:solidFill>
              <a:schemeClr val="lt1"/>
            </a:solidFill>
          </a:endParaRPr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171450</xdr:rowOff>
    </xdr:from>
    <xdr:to>
      <xdr:col>8</xdr:col>
      <xdr:colOff>9525</xdr:colOff>
      <xdr:row>13</xdr:row>
      <xdr:rowOff>180975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0" y="1123950"/>
          <a:ext cx="6219825" cy="21717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17</xdr:row>
      <xdr:rowOff>171450</xdr:rowOff>
    </xdr:from>
    <xdr:to>
      <xdr:col>8</xdr:col>
      <xdr:colOff>9525</xdr:colOff>
      <xdr:row>24</xdr:row>
      <xdr:rowOff>9525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7648575" y="1228725"/>
          <a:ext cx="5638800" cy="181927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2" refreshedDate="46008.380771643519" createdVersion="6" refreshedVersion="6" minRefreshableVersion="3" recordCount="10" xr:uid="{00000000-000A-0000-FFFF-FFFF00000000}">
  <cacheSource type="worksheet">
    <worksheetSource ref="B8:G18" sheet="Compras y Ventas"/>
  </cacheSource>
  <cacheFields count="6">
    <cacheField name="FECHA" numFmtId="14">
      <sharedItems containsSemiMixedTypes="0" containsNonDate="0" containsDate="1" containsString="0" minDate="2021-05-01T00:00:00" maxDate="2021-05-07T00:00:00" count="6">
        <d v="2021-05-01T00:00:00"/>
        <d v="2021-05-02T00:00:00"/>
        <d v="2021-05-03T00:00:00"/>
        <d v="2021-05-04T00:00:00"/>
        <d v="2021-05-05T00:00:00"/>
        <d v="2021-05-06T00:00:00"/>
      </sharedItems>
    </cacheField>
    <cacheField name="COMPRA/VENTA/EXISTENCIA" numFmtId="0">
      <sharedItems count="3">
        <s v="Existencia"/>
        <s v="Compra"/>
        <s v="Venta"/>
      </sharedItems>
    </cacheField>
    <cacheField name="CÓDIGO PRODUCTO" numFmtId="0">
      <sharedItems/>
    </cacheField>
    <cacheField name="PRODUCTO" numFmtId="0">
      <sharedItems containsSemiMixedTypes="0" containsString="0" containsNumber="1" containsInteger="1" minValue="3456" maxValue="4789"/>
    </cacheField>
    <cacheField name="CATEGORÍA" numFmtId="0">
      <sharedItems count="4">
        <s v="Consola de viodeo juegos"/>
        <s v="Pulseras inteligentes"/>
        <s v="Tabletas digitales"/>
        <s v="Ordenadores portátiles"/>
      </sharedItems>
    </cacheField>
    <cacheField name="CANTIDAD" numFmtId="0">
      <sharedItems containsSemiMixedTypes="0" containsString="0" containsNumber="1" containsInteger="1" minValue="-60" maxValue="3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x v="0"/>
    <x v="0"/>
    <s v="A001"/>
    <n v="3456"/>
    <x v="0"/>
    <n v="250"/>
  </r>
  <r>
    <x v="0"/>
    <x v="0"/>
    <s v="A002"/>
    <n v="3567"/>
    <x v="1"/>
    <n v="150"/>
  </r>
  <r>
    <x v="0"/>
    <x v="0"/>
    <s v="A003"/>
    <n v="4576"/>
    <x v="2"/>
    <n v="300"/>
  </r>
  <r>
    <x v="0"/>
    <x v="0"/>
    <s v="A004"/>
    <n v="4789"/>
    <x v="3"/>
    <n v="100"/>
  </r>
  <r>
    <x v="1"/>
    <x v="1"/>
    <s v="A003"/>
    <n v="4576"/>
    <x v="2"/>
    <n v="100"/>
  </r>
  <r>
    <x v="1"/>
    <x v="1"/>
    <s v="A001"/>
    <n v="3456"/>
    <x v="0"/>
    <n v="20"/>
  </r>
  <r>
    <x v="2"/>
    <x v="2"/>
    <s v="A001"/>
    <n v="3456"/>
    <x v="0"/>
    <n v="-50"/>
  </r>
  <r>
    <x v="3"/>
    <x v="2"/>
    <s v="A002"/>
    <n v="3567"/>
    <x v="1"/>
    <n v="-20"/>
  </r>
  <r>
    <x v="4"/>
    <x v="2"/>
    <s v="A003"/>
    <n v="4576"/>
    <x v="2"/>
    <n v="-60"/>
  </r>
  <r>
    <x v="5"/>
    <x v="2"/>
    <s v="A004"/>
    <n v="4789"/>
    <x v="3"/>
    <n v="-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TablaDinámica3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28" rowHeaderCaption="Productos" colHeaderCaption="Fechas">
  <location ref="A19:H24" firstHeaderRow="1" firstDataRow="2" firstDataCol="1" rowPageCount="1" colPageCount="1"/>
  <pivotFields count="6">
    <pivotField axis="axisCol" showAll="0" sortType="ascending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showAll="0"/>
    <pivotField name="VOLUMEN" axis="axisPage" showAll="0">
      <items count="5">
        <item x="0"/>
        <item x="3"/>
        <item x="1"/>
        <item x="2"/>
        <item t="default"/>
      </items>
    </pivotField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4" hier="-1"/>
  </pageFields>
  <dataFields count="1">
    <dataField name="Suma de CANTIDAD" fld="5" baseField="0" baseItem="0"/>
  </dataFields>
  <formats count="37">
    <format dxfId="36">
      <pivotArea type="all" dataOnly="0" outline="0" fieldPosition="0"/>
    </format>
    <format dxfId="35">
      <pivotArea outline="0" collapsedLevelsAreSubtotals="1" fieldPosition="0"/>
    </format>
    <format dxfId="34">
      <pivotArea type="origin" dataOnly="0" labelOnly="1" outline="0" fieldPosition="0"/>
    </format>
    <format dxfId="33">
      <pivotArea field="0" type="button" dataOnly="0" labelOnly="1" outline="0" axis="axisCol" fieldPosition="0"/>
    </format>
    <format dxfId="32">
      <pivotArea type="topRight" dataOnly="0" labelOnly="1" outline="0" fieldPosition="0"/>
    </format>
    <format dxfId="31">
      <pivotArea field="4" type="button" dataOnly="0" labelOnly="1" outline="0" axis="axisPage" fieldPosition="0"/>
    </format>
    <format dxfId="30">
      <pivotArea dataOnly="0" labelOnly="1" grandRow="1" outline="0" fieldPosition="0"/>
    </format>
    <format dxfId="29">
      <pivotArea dataOnly="0" labelOnly="1" grandCol="1" outline="0" fieldPosition="0"/>
    </format>
    <format dxfId="28">
      <pivotArea field="4" type="button" dataOnly="0" labelOnly="1" outline="0" axis="axisPage" fieldPosition="0"/>
    </format>
    <format dxfId="27">
      <pivotArea field="4" type="button" dataOnly="0" labelOnly="1" outline="0" axis="axisPage" fieldPosition="0"/>
    </format>
    <format dxfId="26">
      <pivotArea field="4" type="button" dataOnly="0" labelOnly="1" outline="0" axis="axisPage" fieldPosition="0"/>
    </format>
    <format dxfId="25">
      <pivotArea field="4" type="button" dataOnly="0" labelOnly="1" outline="0" axis="axisPage" fieldPosition="0"/>
    </format>
    <format dxfId="24">
      <pivotArea field="4" type="button" dataOnly="0" labelOnly="1" outline="0" axis="axisPage" fieldPosition="0"/>
    </format>
    <format dxfId="23">
      <pivotArea field="4" type="button" dataOnly="0" labelOnly="1" outline="0" axis="axisPage" fieldPosition="0"/>
    </format>
    <format dxfId="22">
      <pivotArea field="4" type="button" dataOnly="0" labelOnly="1" outline="0" axis="axisPage" fieldPosition="0"/>
    </format>
    <format dxfId="21">
      <pivotArea field="4" type="button" dataOnly="0" labelOnly="1" outline="0" axis="axisPage" fieldPosition="0"/>
    </format>
    <format dxfId="20">
      <pivotArea field="4" type="button" dataOnly="0" labelOnly="1" outline="0" axis="axisPage" fieldPosition="0"/>
    </format>
    <format dxfId="19">
      <pivotArea field="4" type="button" dataOnly="0" labelOnly="1" outline="0" axis="axisPage" fieldPosition="0"/>
    </format>
    <format dxfId="18">
      <pivotArea field="4" type="button" dataOnly="0" labelOnly="1" outline="0" axis="axisPage" fieldPosition="0"/>
    </format>
    <format dxfId="17">
      <pivotArea field="4" type="button" dataOnly="0" labelOnly="1" outline="0" axis="axisPage" fieldPosition="0"/>
    </format>
    <format dxfId="16">
      <pivotArea field="4" type="button" dataOnly="0" labelOnly="1" outline="0" axis="axisPage" fieldPosition="0"/>
    </format>
    <format dxfId="15">
      <pivotArea field="4" type="button" dataOnly="0" labelOnly="1" outline="0" axis="axisPage" fieldPosition="0"/>
    </format>
    <format dxfId="14">
      <pivotArea field="4" type="button" dataOnly="0" labelOnly="1" outline="0" axis="axisPage" fieldPosition="0"/>
    </format>
    <format dxfId="13">
      <pivotArea field="4" type="button" dataOnly="0" labelOnly="1" outline="0" axis="axisPage" fieldPosition="0"/>
    </format>
    <format dxfId="12">
      <pivotArea field="4" type="button" dataOnly="0" labelOnly="1" outline="0" axis="axisPage" fieldPosition="0"/>
    </format>
    <format dxfId="11">
      <pivotArea field="4" type="button" dataOnly="0" labelOnly="1" outline="0" axis="axisPage" fieldPosition="0"/>
    </format>
    <format dxfId="10">
      <pivotArea field="4" type="button" dataOnly="0" labelOnly="1" outline="0" axis="axisPage" fieldPosition="0"/>
    </format>
    <format dxfId="9">
      <pivotArea field="4" type="button" dataOnly="0" labelOnly="1" outline="0" axis="axisPage" fieldPosition="0"/>
    </format>
    <format dxfId="8">
      <pivotArea field="1" type="button" dataOnly="0" labelOnly="1" outline="0" axis="axisRow" fieldPosition="0"/>
    </format>
    <format dxfId="7">
      <pivotArea field="1" type="button" dataOnly="0" labelOnly="1" outline="0" axis="axisRow" fieldPosition="0"/>
    </format>
    <format dxfId="6">
      <pivotArea field="1" type="button" dataOnly="0" labelOnly="1" outline="0" axis="axisRow" fieldPosition="0"/>
    </format>
    <format dxfId="5">
      <pivotArea field="1" type="button" dataOnly="0" labelOnly="1" outline="0" axis="axisRow" fieldPosition="0"/>
    </format>
    <format dxfId="4">
      <pivotArea field="1" type="button" dataOnly="0" labelOnly="1" outline="0" axis="axisRow" fieldPosition="0"/>
    </format>
    <format dxfId="3">
      <pivotArea field="1" type="button" dataOnly="0" labelOnly="1" outline="0" axis="axisRow" fieldPosition="0"/>
    </format>
    <format dxfId="2">
      <pivotArea field="1" type="button" dataOnly="0" labelOnly="1" outline="0" axis="axisRow" fieldPosition="0"/>
    </format>
    <format dxfId="1">
      <pivotArea field="1" type="button" dataOnly="0" labelOnly="1" outline="0" axis="axisRow" fieldPosition="0"/>
    </format>
    <format dxfId="0">
      <pivotArea field="1" type="button" dataOnly="0" labelOnly="1" outline="0" axis="axisRow" fieldPosition="0"/>
    </format>
  </formats>
  <conditionalFormats count="1">
    <conditionalFormat priority="1">
      <pivotAreas count="1">
        <pivotArea type="data" grandRow="1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23">
    <chartFormat chart="25" format="7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25" format="8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25" format="9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25" format="10" series="1">
      <pivotArea type="data" outline="0" fieldPosition="0">
        <references count="1">
          <reference field="0" count="1" selected="0">
            <x v="3"/>
          </reference>
        </references>
      </pivotArea>
    </chartFormat>
    <chartFormat chart="25" format="11" series="1">
      <pivotArea type="data" outline="0" fieldPosition="0">
        <references count="1">
          <reference field="0" count="1" selected="0">
            <x v="4"/>
          </reference>
        </references>
      </pivotArea>
    </chartFormat>
    <chartFormat chart="25" format="12" series="1">
      <pivotArea type="data" outline="0" fieldPosition="0">
        <references count="1">
          <reference field="0" count="1" selected="0">
            <x v="5"/>
          </reference>
        </references>
      </pivotArea>
    </chartFormat>
    <chartFormat chart="25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5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5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5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5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6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6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6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6" format="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6" format="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6" format="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7" format="3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7" format="3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7" format="3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7" format="3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7" format="4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7" format="4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TablaDinámica5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5" rowHeaderCaption="Productos" colHeaderCaption="Fechas">
  <location ref="A8:H14" firstHeaderRow="1" firstDataRow="2" firstDataCol="1" rowPageCount="1" colPageCount="1"/>
  <pivotFields count="6">
    <pivotField axis="axisCol" showAll="0" sortType="ascending">
      <items count="7">
        <item x="0"/>
        <item x="1"/>
        <item x="2"/>
        <item x="3"/>
        <item x="4"/>
        <item x="5"/>
        <item t="default"/>
      </items>
    </pivotField>
    <pivotField name="STOCK" axis="axisPage" showAll="0">
      <items count="4">
        <item x="1"/>
        <item x="0"/>
        <item x="2"/>
        <item t="default"/>
      </items>
    </pivotField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dataField="1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1" hier="-1"/>
  </pageFields>
  <dataFields count="1">
    <dataField name=" " fld="5" baseField="0" baseItem="0"/>
  </dataFields>
  <formats count="36">
    <format dxfId="72">
      <pivotArea dataOnly="0" labelOnly="1" fieldPosition="0">
        <references count="1">
          <reference field="0" count="0"/>
        </references>
      </pivotArea>
    </format>
    <format dxfId="71">
      <pivotArea type="all" dataOnly="0" outline="0" fieldPosition="0"/>
    </format>
    <format dxfId="70">
      <pivotArea outline="0" collapsedLevelsAreSubtotals="1" fieldPosition="0"/>
    </format>
    <format dxfId="69">
      <pivotArea type="origin" dataOnly="0" labelOnly="1" outline="0" fieldPosition="0"/>
    </format>
    <format dxfId="68">
      <pivotArea field="0" type="button" dataOnly="0" labelOnly="1" outline="0" axis="axisCol" fieldPosition="0"/>
    </format>
    <format dxfId="67">
      <pivotArea type="topRight" dataOnly="0" labelOnly="1" outline="0" fieldPosition="0"/>
    </format>
    <format dxfId="66">
      <pivotArea field="4" type="button" dataOnly="0" labelOnly="1" outline="0" axis="axisRow" fieldPosition="0"/>
    </format>
    <format dxfId="65">
      <pivotArea dataOnly="0" labelOnly="1" fieldPosition="0">
        <references count="1">
          <reference field="4" count="0"/>
        </references>
      </pivotArea>
    </format>
    <format dxfId="64">
      <pivotArea dataOnly="0" labelOnly="1" grandRow="1" outline="0" fieldPosition="0"/>
    </format>
    <format dxfId="63">
      <pivotArea dataOnly="0" labelOnly="1" fieldPosition="0">
        <references count="1">
          <reference field="0" count="0"/>
        </references>
      </pivotArea>
    </format>
    <format dxfId="62">
      <pivotArea dataOnly="0" labelOnly="1" grandCol="1" outline="0" fieldPosition="0"/>
    </format>
    <format dxfId="61">
      <pivotArea field="4" type="button" dataOnly="0" labelOnly="1" outline="0" axis="axisRow" fieldPosition="0"/>
    </format>
    <format dxfId="60">
      <pivotArea field="4" type="button" dataOnly="0" labelOnly="1" outline="0" axis="axisRow" fieldPosition="0"/>
    </format>
    <format dxfId="59">
      <pivotArea field="4" type="button" dataOnly="0" labelOnly="1" outline="0" axis="axisRow" fieldPosition="0"/>
    </format>
    <format dxfId="58">
      <pivotArea field="4" type="button" dataOnly="0" labelOnly="1" outline="0" axis="axisRow" fieldPosition="0"/>
    </format>
    <format dxfId="57">
      <pivotArea field="4" type="button" dataOnly="0" labelOnly="1" outline="0" axis="axisRow" fieldPosition="0"/>
    </format>
    <format dxfId="56">
      <pivotArea field="4" type="button" dataOnly="0" labelOnly="1" outline="0" axis="axisRow" fieldPosition="0"/>
    </format>
    <format dxfId="55">
      <pivotArea field="4" type="button" dataOnly="0" labelOnly="1" outline="0" axis="axisRow" fieldPosition="0"/>
    </format>
    <format dxfId="54">
      <pivotArea field="4" type="button" dataOnly="0" labelOnly="1" outline="0" axis="axisRow" fieldPosition="0"/>
    </format>
    <format dxfId="53">
      <pivotArea field="4" type="button" dataOnly="0" labelOnly="1" outline="0" axis="axisRow" fieldPosition="0"/>
    </format>
    <format dxfId="52">
      <pivotArea field="4" type="button" dataOnly="0" labelOnly="1" outline="0" axis="axisRow" fieldPosition="0"/>
    </format>
    <format dxfId="51">
      <pivotArea field="1" type="button" dataOnly="0" labelOnly="1" outline="0" axis="axisPage" fieldPosition="0"/>
    </format>
    <format dxfId="50">
      <pivotArea field="1" type="button" dataOnly="0" labelOnly="1" outline="0" axis="axisPage" fieldPosition="0"/>
    </format>
    <format dxfId="49">
      <pivotArea field="1" type="button" dataOnly="0" labelOnly="1" outline="0" axis="axisPage" fieldPosition="0"/>
    </format>
    <format dxfId="48">
      <pivotArea field="1" type="button" dataOnly="0" labelOnly="1" outline="0" axis="axisPage" fieldPosition="0"/>
    </format>
    <format dxfId="47">
      <pivotArea field="1" type="button" dataOnly="0" labelOnly="1" outline="0" axis="axisPage" fieldPosition="0"/>
    </format>
    <format dxfId="46">
      <pivotArea field="4" type="button" dataOnly="0" labelOnly="1" outline="0" axis="axisRow" fieldPosition="0"/>
    </format>
    <format dxfId="45">
      <pivotArea field="1" type="button" dataOnly="0" labelOnly="1" outline="0" axis="axisPage" fieldPosition="0"/>
    </format>
    <format dxfId="44">
      <pivotArea field="1" type="button" dataOnly="0" labelOnly="1" outline="0" axis="axisPage" fieldPosition="0"/>
    </format>
    <format dxfId="43">
      <pivotArea field="1" type="button" dataOnly="0" labelOnly="1" outline="0" axis="axisPage" fieldPosition="0"/>
    </format>
    <format dxfId="42">
      <pivotArea field="1" type="button" dataOnly="0" labelOnly="1" outline="0" axis="axisPage" fieldPosition="0"/>
    </format>
    <format dxfId="41">
      <pivotArea field="1" type="button" dataOnly="0" labelOnly="1" outline="0" axis="axisPage" fieldPosition="0"/>
    </format>
    <format dxfId="40">
      <pivotArea field="1" type="button" dataOnly="0" labelOnly="1" outline="0" axis="axisPage" fieldPosition="0"/>
    </format>
    <format dxfId="39">
      <pivotArea field="1" type="button" dataOnly="0" labelOnly="1" outline="0" axis="axisPage" fieldPosition="0"/>
    </format>
    <format dxfId="38">
      <pivotArea field="1" type="button" dataOnly="0" labelOnly="1" outline="0" axis="axisPage" fieldPosition="0"/>
    </format>
    <format dxfId="37">
      <pivotArea field="1" type="button" dataOnly="0" labelOnly="1" outline="0" axis="axisPage" fieldPosition="0"/>
    </format>
  </formats>
  <conditionalFormats count="1">
    <conditionalFormat priority="3">
      <pivotAreas count="1">
        <pivotArea type="data" grandRow="1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6">
    <chartFormat chart="14" format="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4" format="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4" format="3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4" format="3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4" format="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4" format="3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a4" displayName="Tabla4" ref="L1:L5" totalsRowShown="0" headerRowDxfId="81" dataDxfId="79" headerRowBorderDxfId="80" tableBorderDxfId="78" totalsRowBorderDxfId="77" headerRowCellStyle="Encabezado 1" dataCellStyle="Hipervínculo">
  <autoFilter ref="L1:L5" xr:uid="{00000000-0009-0000-0100-000004000000}"/>
  <tableColumns count="1">
    <tableColumn id="1" xr3:uid="{00000000-0010-0000-0000-000001000000}" name="Indice" dataDxfId="76" dataCellStyle="Hipervínculo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_1" displayName="Table_1" ref="B7:D11" headerRowCount="0">
  <tableColumns count="3">
    <tableColumn id="1" xr3:uid="{00000000-0010-0000-0100-000001000000}" name="Column1"/>
    <tableColumn id="2" xr3:uid="{00000000-0010-0000-0100-000002000000}" name="Column2"/>
    <tableColumn id="3" xr3:uid="{00000000-0010-0000-0100-000003000000}" name="Column3"/>
  </tableColumns>
  <tableStyleInfo name="Productos-style" showFirstColumn="1" showLastColumn="1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L12"/>
  <sheetViews>
    <sheetView workbookViewId="0">
      <selection activeCell="J10" sqref="J10"/>
    </sheetView>
  </sheetViews>
  <sheetFormatPr baseColWidth="10" defaultColWidth="11.453125" defaultRowHeight="14.5" x14ac:dyDescent="0.35"/>
  <cols>
    <col min="1" max="11" width="11.453125" style="48"/>
    <col min="12" max="12" width="21.453125" style="48" customWidth="1"/>
    <col min="13" max="16384" width="11.453125" style="48"/>
  </cols>
  <sheetData>
    <row r="1" spans="3:12" ht="23.5" x14ac:dyDescent="0.35">
      <c r="K1" s="49"/>
      <c r="L1" s="51" t="s">
        <v>33</v>
      </c>
    </row>
    <row r="2" spans="3:12" x14ac:dyDescent="0.35">
      <c r="L2" s="52" t="s">
        <v>29</v>
      </c>
    </row>
    <row r="3" spans="3:12" x14ac:dyDescent="0.35">
      <c r="L3" s="53" t="s">
        <v>30</v>
      </c>
    </row>
    <row r="4" spans="3:12" x14ac:dyDescent="0.35">
      <c r="L4" s="53" t="s">
        <v>31</v>
      </c>
    </row>
    <row r="5" spans="3:12" x14ac:dyDescent="0.35">
      <c r="L5" s="54" t="s">
        <v>32</v>
      </c>
    </row>
    <row r="10" spans="3:12" x14ac:dyDescent="0.35">
      <c r="C10" s="50"/>
    </row>
    <row r="12" spans="3:12" x14ac:dyDescent="0.35">
      <c r="C12" s="50"/>
    </row>
  </sheetData>
  <hyperlinks>
    <hyperlink ref="L2" location="Productos!A1" display="Productos!A1" xr:uid="{00000000-0004-0000-0000-000000000000}"/>
    <hyperlink ref="L3" location="'Compras y Ventas'!A1" display="'Compras y Ventas'!A1" xr:uid="{00000000-0004-0000-0000-000001000000}"/>
    <hyperlink ref="L4" location="'Control de stock'!A1" display="'Control de stock'!A1" xr:uid="{00000000-0004-0000-0000-000002000000}"/>
    <hyperlink ref="L5" location="Conclusiones!A1" display="Conclusiones!A1" xr:uid="{00000000-0004-0000-0000-000003000000}"/>
  </hyperlink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workbookViewId="0">
      <selection activeCell="C9" sqref="C9"/>
    </sheetView>
  </sheetViews>
  <sheetFormatPr baseColWidth="10" defaultColWidth="12.7265625" defaultRowHeight="15" customHeight="1" x14ac:dyDescent="0.35"/>
  <cols>
    <col min="1" max="1" width="3" customWidth="1"/>
    <col min="2" max="2" width="16" customWidth="1"/>
    <col min="3" max="3" width="33.54296875" customWidth="1"/>
    <col min="4" max="4" width="32.26953125" customWidth="1"/>
    <col min="5" max="26" width="10.1796875" customWidth="1"/>
  </cols>
  <sheetData>
    <row r="1" spans="1:26" ht="15.7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54.75" customHeight="1" x14ac:dyDescent="0.35">
      <c r="A2" s="2"/>
      <c r="B2" s="3"/>
      <c r="C2" s="3"/>
      <c r="D2" s="3"/>
      <c r="E2" s="3"/>
      <c r="F2" s="3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" customHeight="1" x14ac:dyDescent="0.4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4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8.5" customHeight="1" x14ac:dyDescent="0.6">
      <c r="A4" s="2"/>
      <c r="B4" s="5" t="s">
        <v>0</v>
      </c>
      <c r="C4" s="6"/>
      <c r="D4" s="6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1.75" customHeight="1" x14ac:dyDescent="0.6">
      <c r="A5" s="2"/>
      <c r="B5" s="7" t="s">
        <v>1</v>
      </c>
      <c r="C5" s="6"/>
      <c r="D5" s="6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.75" customHeight="1" x14ac:dyDescent="0.35">
      <c r="A6" s="2"/>
      <c r="B6" s="8"/>
      <c r="C6" s="8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35">
      <c r="A7" s="2"/>
      <c r="B7" s="9" t="s">
        <v>2</v>
      </c>
      <c r="C7" s="9" t="s">
        <v>3</v>
      </c>
      <c r="D7" s="9" t="s">
        <v>4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45">
      <c r="A8" s="4"/>
      <c r="B8" s="10" t="s">
        <v>18</v>
      </c>
      <c r="C8" s="10">
        <v>3456</v>
      </c>
      <c r="D8" s="25" t="s">
        <v>24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 x14ac:dyDescent="0.35">
      <c r="A9" s="1"/>
      <c r="B9" s="16" t="s">
        <v>19</v>
      </c>
      <c r="C9" s="10">
        <v>3567</v>
      </c>
      <c r="D9" s="16" t="s">
        <v>15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35">
      <c r="A10" s="1"/>
      <c r="B10" s="16" t="s">
        <v>20</v>
      </c>
      <c r="C10" s="10">
        <v>4576</v>
      </c>
      <c r="D10" s="16" t="s">
        <v>16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35">
      <c r="A11" s="1"/>
      <c r="B11" s="16" t="s">
        <v>21</v>
      </c>
      <c r="C11" s="10">
        <v>4789</v>
      </c>
      <c r="D11" s="16" t="s">
        <v>17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portrait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9"/>
  <sheetViews>
    <sheetView showGridLines="0" workbookViewId="0">
      <selection activeCell="B13" sqref="B13"/>
    </sheetView>
  </sheetViews>
  <sheetFormatPr baseColWidth="10" defaultColWidth="12.7265625" defaultRowHeight="15" customHeight="1" x14ac:dyDescent="0.35"/>
  <cols>
    <col min="1" max="1" width="3.26953125" customWidth="1"/>
    <col min="2" max="2" width="19.7265625" customWidth="1"/>
    <col min="3" max="3" width="31.26953125" bestFit="1" customWidth="1"/>
    <col min="4" max="4" width="21.1796875" customWidth="1"/>
    <col min="5" max="5" width="29.26953125" customWidth="1"/>
    <col min="6" max="6" width="30.7265625" customWidth="1"/>
    <col min="7" max="7" width="14.26953125" customWidth="1"/>
    <col min="8" max="8" width="17.1796875" customWidth="1"/>
    <col min="9" max="26" width="10.1796875" customWidth="1"/>
  </cols>
  <sheetData>
    <row r="1" spans="1:26" ht="14.5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54.75" customHeight="1" x14ac:dyDescent="0.35">
      <c r="A2" s="2"/>
      <c r="B2" s="3"/>
      <c r="C2" s="3"/>
      <c r="D2" s="3"/>
      <c r="E2" s="3"/>
      <c r="F2" s="3"/>
      <c r="G2" s="3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5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8.25" customHeight="1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1" x14ac:dyDescent="0.35">
      <c r="A5" s="2"/>
      <c r="B5" s="11" t="s">
        <v>5</v>
      </c>
      <c r="C5" s="11"/>
      <c r="D5" s="11"/>
      <c r="E5" s="11"/>
      <c r="F5" s="11"/>
      <c r="G5" s="11"/>
      <c r="H5" s="11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6.5" customHeight="1" x14ac:dyDescent="0.35">
      <c r="A6" s="2"/>
      <c r="B6" s="7" t="s">
        <v>6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8.25" customHeight="1" x14ac:dyDescent="0.35">
      <c r="A7" s="2"/>
      <c r="B7" s="7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0.5" customHeight="1" x14ac:dyDescent="0.45">
      <c r="A8" s="12"/>
      <c r="B8" s="13" t="s">
        <v>7</v>
      </c>
      <c r="C8" s="13" t="s">
        <v>8</v>
      </c>
      <c r="D8" s="13" t="s">
        <v>9</v>
      </c>
      <c r="E8" s="13" t="s">
        <v>3</v>
      </c>
      <c r="F8" s="13" t="s">
        <v>4</v>
      </c>
      <c r="G8" s="13" t="s">
        <v>10</v>
      </c>
      <c r="H8" s="14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8.75" customHeight="1" x14ac:dyDescent="0.45">
      <c r="A9" s="1"/>
      <c r="B9" s="26">
        <v>44317</v>
      </c>
      <c r="C9" s="16" t="s">
        <v>12</v>
      </c>
      <c r="D9" s="16" t="s">
        <v>18</v>
      </c>
      <c r="E9" s="17">
        <f>+IFERROR(LOOKUP(D9,Productos!$B$8:$C$11),"")</f>
        <v>3456</v>
      </c>
      <c r="F9" s="17" t="str">
        <f>+IFERROR(LOOKUP(D9,Productos!$B$8:$D$11),"")</f>
        <v>Consola de viodeo juegos</v>
      </c>
      <c r="G9" s="27">
        <v>250</v>
      </c>
      <c r="H9" s="19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.75" customHeight="1" x14ac:dyDescent="0.45">
      <c r="A10" s="2"/>
      <c r="B10" s="26">
        <v>44317</v>
      </c>
      <c r="C10" s="16" t="s">
        <v>12</v>
      </c>
      <c r="D10" s="16" t="s">
        <v>19</v>
      </c>
      <c r="E10" s="17">
        <f>+IFERROR(LOOKUP(D10,Productos!$B$8:$C$11),"")</f>
        <v>3567</v>
      </c>
      <c r="F10" s="17" t="str">
        <f>+IFERROR(LOOKUP(D10,Productos!$B$8:$D$11),"")</f>
        <v>Pulseras inteligentes</v>
      </c>
      <c r="G10" s="27">
        <v>150</v>
      </c>
      <c r="H10" s="20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8.75" customHeight="1" x14ac:dyDescent="0.45">
      <c r="A11" s="2"/>
      <c r="B11" s="26">
        <v>44317</v>
      </c>
      <c r="C11" s="25" t="s">
        <v>12</v>
      </c>
      <c r="D11" s="16" t="s">
        <v>20</v>
      </c>
      <c r="E11" s="17">
        <f>+IFERROR(LOOKUP(D11,Productos!$B$8:$C$11),"")</f>
        <v>4576</v>
      </c>
      <c r="F11" s="17" t="str">
        <f>+IFERROR(LOOKUP(D11,Productos!$B$8:$D$11),"")</f>
        <v>Tabletas digitales</v>
      </c>
      <c r="G11" s="27">
        <v>300</v>
      </c>
      <c r="H11" s="20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8.75" customHeight="1" x14ac:dyDescent="0.45">
      <c r="A12" s="2"/>
      <c r="B12" s="26">
        <v>44317</v>
      </c>
      <c r="C12" s="25" t="s">
        <v>12</v>
      </c>
      <c r="D12" s="16" t="s">
        <v>21</v>
      </c>
      <c r="E12" s="17">
        <f>+IFERROR(LOOKUP(D12,Productos!$B$8:$C$11),"")</f>
        <v>4789</v>
      </c>
      <c r="F12" s="17" t="str">
        <f>+IFERROR(LOOKUP(D12,Productos!$B$8:$D$11),"")</f>
        <v>Ordenadores portátiles</v>
      </c>
      <c r="G12" s="27">
        <v>100</v>
      </c>
      <c r="H12" s="20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8.5" x14ac:dyDescent="0.35">
      <c r="A13" s="2"/>
      <c r="B13" s="15">
        <v>44318</v>
      </c>
      <c r="C13" s="16" t="s">
        <v>14</v>
      </c>
      <c r="D13" s="16" t="s">
        <v>20</v>
      </c>
      <c r="E13" s="17">
        <f>+IFERROR(LOOKUP(D13,Productos!$B$8:$C$11),"")</f>
        <v>4576</v>
      </c>
      <c r="F13" s="17" t="str">
        <f>+IFERROR(LOOKUP(D13,Productos!$B$8:$D$11),"")</f>
        <v>Tabletas digitales</v>
      </c>
      <c r="G13" s="18">
        <v>100</v>
      </c>
      <c r="H13" s="20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8.75" customHeight="1" x14ac:dyDescent="0.35">
      <c r="A14" s="2"/>
      <c r="B14" s="15">
        <v>44318</v>
      </c>
      <c r="C14" s="16" t="s">
        <v>14</v>
      </c>
      <c r="D14" s="16" t="s">
        <v>18</v>
      </c>
      <c r="E14" s="17">
        <f>+IFERROR(LOOKUP(D14,Productos!$B$8:$C$11),"")</f>
        <v>3456</v>
      </c>
      <c r="F14" s="17" t="str">
        <f>+IFERROR(LOOKUP(D14,Productos!$B$8:$D$11),"")</f>
        <v>Consola de viodeo juegos</v>
      </c>
      <c r="G14" s="18">
        <v>20</v>
      </c>
      <c r="H14" s="20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8.75" customHeight="1" x14ac:dyDescent="0.35">
      <c r="A15" s="2"/>
      <c r="B15" s="15">
        <v>44319</v>
      </c>
      <c r="C15" s="16" t="s">
        <v>13</v>
      </c>
      <c r="D15" s="16" t="s">
        <v>18</v>
      </c>
      <c r="E15" s="17">
        <f>+IFERROR(LOOKUP(D15,Productos!$B$8:$C$11),"")</f>
        <v>3456</v>
      </c>
      <c r="F15" s="17" t="str">
        <f>+IFERROR(LOOKUP(D15,Productos!$B$8:$D$11),"")</f>
        <v>Consola de viodeo juegos</v>
      </c>
      <c r="G15" s="21">
        <v>-50</v>
      </c>
      <c r="H15" s="20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8.75" customHeight="1" x14ac:dyDescent="0.35">
      <c r="A16" s="2"/>
      <c r="B16" s="15">
        <v>44320</v>
      </c>
      <c r="C16" s="16" t="s">
        <v>13</v>
      </c>
      <c r="D16" s="16" t="s">
        <v>19</v>
      </c>
      <c r="E16" s="17">
        <f>+IFERROR(LOOKUP(D16,Productos!$B$8:$C$11),"")</f>
        <v>3567</v>
      </c>
      <c r="F16" s="17" t="str">
        <f>+IFERROR(LOOKUP(D16,Productos!$B$8:$D$11),"")</f>
        <v>Pulseras inteligentes</v>
      </c>
      <c r="G16" s="24">
        <v>-20</v>
      </c>
      <c r="H16" s="20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8.75" customHeight="1" x14ac:dyDescent="0.35">
      <c r="A17" s="2"/>
      <c r="B17" s="15">
        <v>44321</v>
      </c>
      <c r="C17" s="16" t="s">
        <v>13</v>
      </c>
      <c r="D17" s="16" t="s">
        <v>20</v>
      </c>
      <c r="E17" s="17">
        <f>+IFERROR(LOOKUP(D17,Productos!$B$8:$C$11),"")</f>
        <v>4576</v>
      </c>
      <c r="F17" s="17" t="str">
        <f>+IFERROR(LOOKUP(D17,Productos!$B$8:$D$11),"")</f>
        <v>Tabletas digitales</v>
      </c>
      <c r="G17" s="24">
        <v>-60</v>
      </c>
      <c r="H17" s="20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8.5" x14ac:dyDescent="0.45">
      <c r="A18" s="2"/>
      <c r="B18" s="15">
        <v>44322</v>
      </c>
      <c r="C18" s="16" t="s">
        <v>13</v>
      </c>
      <c r="D18" s="16" t="s">
        <v>21</v>
      </c>
      <c r="E18" s="17">
        <f>+IFERROR(LOOKUP(D18,Productos!$B$8:$C$11),"")</f>
        <v>4789</v>
      </c>
      <c r="F18" s="17" t="str">
        <f>+IFERROR(LOOKUP(D18,Productos!$B$8:$D$11),"")</f>
        <v>Ordenadores portátiles</v>
      </c>
      <c r="G18" s="23">
        <v>-10</v>
      </c>
      <c r="H18" s="20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5" x14ac:dyDescent="0.35">
      <c r="A19" s="2"/>
      <c r="B19" s="22"/>
      <c r="C19" s="20"/>
      <c r="D19" s="20"/>
      <c r="E19" s="20"/>
      <c r="F19" s="20"/>
      <c r="G19" s="20"/>
      <c r="H19" s="20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2"/>
      <c r="C20" s="20"/>
      <c r="D20" s="20"/>
      <c r="E20" s="20"/>
      <c r="F20" s="20"/>
      <c r="G20" s="20"/>
      <c r="H20" s="20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2"/>
      <c r="C21" s="20"/>
      <c r="D21" s="20"/>
      <c r="E21" s="20"/>
      <c r="F21" s="20"/>
      <c r="G21" s="20"/>
      <c r="H21" s="20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2"/>
      <c r="C22" s="20"/>
      <c r="D22" s="20"/>
      <c r="E22" s="20"/>
      <c r="F22" s="20"/>
      <c r="G22" s="20"/>
      <c r="H22" s="20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2"/>
      <c r="C23" s="20"/>
      <c r="D23" s="20"/>
      <c r="E23" s="20"/>
      <c r="F23" s="20"/>
      <c r="G23" s="20"/>
      <c r="H23" s="20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2"/>
      <c r="C24" s="20"/>
      <c r="D24" s="20"/>
      <c r="E24" s="20"/>
      <c r="F24" s="20"/>
      <c r="G24" s="20"/>
      <c r="H24" s="20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2"/>
      <c r="C25" s="20"/>
      <c r="D25" s="20"/>
      <c r="E25" s="20"/>
      <c r="F25" s="20"/>
      <c r="G25" s="20"/>
      <c r="H25" s="20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2"/>
      <c r="C26" s="20"/>
      <c r="D26" s="20"/>
      <c r="E26" s="20"/>
      <c r="F26" s="20"/>
      <c r="G26" s="20"/>
      <c r="H26" s="20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2"/>
      <c r="C27" s="20"/>
      <c r="D27" s="20"/>
      <c r="E27" s="20"/>
      <c r="F27" s="20"/>
      <c r="G27" s="20"/>
      <c r="H27" s="20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2"/>
      <c r="C28" s="20"/>
      <c r="D28" s="20"/>
      <c r="E28" s="20"/>
      <c r="F28" s="20"/>
      <c r="G28" s="20"/>
      <c r="H28" s="20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2"/>
      <c r="C29" s="20"/>
      <c r="D29" s="20"/>
      <c r="E29" s="20"/>
      <c r="F29" s="20"/>
      <c r="G29" s="20"/>
      <c r="H29" s="20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2"/>
      <c r="C30" s="20"/>
      <c r="D30" s="20"/>
      <c r="E30" s="20"/>
      <c r="F30" s="20"/>
      <c r="G30" s="20"/>
      <c r="H30" s="20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2"/>
      <c r="C31" s="20"/>
      <c r="D31" s="20"/>
      <c r="E31" s="20"/>
      <c r="F31" s="20"/>
      <c r="G31" s="20"/>
      <c r="H31" s="20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2"/>
      <c r="C32" s="20"/>
      <c r="D32" s="20"/>
      <c r="E32" s="20"/>
      <c r="F32" s="20"/>
      <c r="G32" s="20"/>
      <c r="H32" s="20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2"/>
      <c r="C33" s="20"/>
      <c r="D33" s="20"/>
      <c r="E33" s="20"/>
      <c r="F33" s="20"/>
      <c r="G33" s="20"/>
      <c r="H33" s="20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2"/>
      <c r="C34" s="20"/>
      <c r="D34" s="20"/>
      <c r="E34" s="20"/>
      <c r="F34" s="20"/>
      <c r="G34" s="20"/>
      <c r="H34" s="20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2"/>
      <c r="C35" s="20"/>
      <c r="D35" s="20"/>
      <c r="E35" s="20"/>
      <c r="F35" s="20"/>
      <c r="G35" s="20"/>
      <c r="H35" s="20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2"/>
      <c r="C36" s="20"/>
      <c r="D36" s="20"/>
      <c r="E36" s="20"/>
      <c r="F36" s="20"/>
      <c r="G36" s="20"/>
      <c r="H36" s="20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2"/>
      <c r="C37" s="20"/>
      <c r="D37" s="20"/>
      <c r="E37" s="20"/>
      <c r="F37" s="20"/>
      <c r="G37" s="20"/>
      <c r="H37" s="20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2"/>
      <c r="C38" s="20"/>
      <c r="D38" s="20"/>
      <c r="E38" s="20"/>
      <c r="F38" s="20"/>
      <c r="G38" s="20"/>
      <c r="H38" s="20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2"/>
      <c r="C39" s="20"/>
      <c r="D39" s="20"/>
      <c r="E39" s="20"/>
      <c r="F39" s="20"/>
      <c r="G39" s="20"/>
      <c r="H39" s="20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2"/>
      <c r="C40" s="20"/>
      <c r="D40" s="20"/>
      <c r="E40" s="20"/>
      <c r="F40" s="20"/>
      <c r="G40" s="20"/>
      <c r="H40" s="20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2"/>
      <c r="C41" s="20"/>
      <c r="D41" s="20"/>
      <c r="E41" s="20"/>
      <c r="F41" s="20"/>
      <c r="G41" s="20"/>
      <c r="H41" s="20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2"/>
      <c r="C42" s="20"/>
      <c r="D42" s="20"/>
      <c r="E42" s="20"/>
      <c r="F42" s="20"/>
      <c r="G42" s="20"/>
      <c r="H42" s="20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2"/>
      <c r="C43" s="20"/>
      <c r="D43" s="20"/>
      <c r="E43" s="20"/>
      <c r="F43" s="20"/>
      <c r="G43" s="20"/>
      <c r="H43" s="20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2"/>
      <c r="C44" s="20"/>
      <c r="D44" s="20"/>
      <c r="E44" s="20"/>
      <c r="F44" s="20"/>
      <c r="G44" s="20"/>
      <c r="H44" s="20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2"/>
      <c r="C45" s="20"/>
      <c r="D45" s="20"/>
      <c r="E45" s="20"/>
      <c r="F45" s="20"/>
      <c r="G45" s="20"/>
      <c r="H45" s="20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2"/>
      <c r="C46" s="20"/>
      <c r="D46" s="20"/>
      <c r="E46" s="20"/>
      <c r="F46" s="20"/>
      <c r="G46" s="20"/>
      <c r="H46" s="20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2"/>
      <c r="C47" s="20"/>
      <c r="D47" s="20"/>
      <c r="E47" s="20"/>
      <c r="F47" s="20"/>
      <c r="G47" s="20"/>
      <c r="H47" s="20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2"/>
      <c r="C48" s="20"/>
      <c r="D48" s="20"/>
      <c r="E48" s="20"/>
      <c r="F48" s="20"/>
      <c r="G48" s="20"/>
      <c r="H48" s="20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2"/>
      <c r="C49" s="20"/>
      <c r="D49" s="20"/>
      <c r="E49" s="20"/>
      <c r="F49" s="20"/>
      <c r="G49" s="20"/>
      <c r="H49" s="20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2"/>
      <c r="C50" s="20"/>
      <c r="D50" s="20"/>
      <c r="E50" s="20"/>
      <c r="F50" s="20"/>
      <c r="G50" s="20"/>
      <c r="H50" s="20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2"/>
      <c r="C51" s="20"/>
      <c r="D51" s="20"/>
      <c r="E51" s="20"/>
      <c r="F51" s="20"/>
      <c r="G51" s="20"/>
      <c r="H51" s="20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2"/>
      <c r="C52" s="20"/>
      <c r="D52" s="20"/>
      <c r="E52" s="20"/>
      <c r="F52" s="20"/>
      <c r="G52" s="20"/>
      <c r="H52" s="20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2"/>
      <c r="C53" s="20"/>
      <c r="D53" s="20"/>
      <c r="E53" s="20"/>
      <c r="F53" s="20"/>
      <c r="G53" s="20"/>
      <c r="H53" s="20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2"/>
      <c r="C54" s="20"/>
      <c r="D54" s="20"/>
      <c r="E54" s="20"/>
      <c r="F54" s="20"/>
      <c r="G54" s="20"/>
      <c r="H54" s="20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2"/>
      <c r="C55" s="20"/>
      <c r="D55" s="20"/>
      <c r="E55" s="20"/>
      <c r="F55" s="20"/>
      <c r="G55" s="20"/>
      <c r="H55" s="20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2"/>
      <c r="C56" s="20"/>
      <c r="D56" s="20"/>
      <c r="E56" s="20"/>
      <c r="F56" s="20"/>
      <c r="G56" s="20"/>
      <c r="H56" s="20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2"/>
      <c r="C57" s="20"/>
      <c r="D57" s="20"/>
      <c r="E57" s="20"/>
      <c r="F57" s="20"/>
      <c r="G57" s="20"/>
      <c r="H57" s="20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2"/>
      <c r="C58" s="20"/>
      <c r="D58" s="20"/>
      <c r="E58" s="20"/>
      <c r="F58" s="20"/>
      <c r="G58" s="20"/>
      <c r="H58" s="20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2"/>
      <c r="C59" s="20"/>
      <c r="D59" s="20"/>
      <c r="E59" s="20"/>
      <c r="F59" s="20"/>
      <c r="G59" s="20"/>
      <c r="H59" s="20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2"/>
      <c r="C60" s="20"/>
      <c r="D60" s="20"/>
      <c r="E60" s="20"/>
      <c r="F60" s="20"/>
      <c r="G60" s="20"/>
      <c r="H60" s="20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2"/>
      <c r="C61" s="20"/>
      <c r="D61" s="20"/>
      <c r="E61" s="20"/>
      <c r="F61" s="20"/>
      <c r="G61" s="20"/>
      <c r="H61" s="20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2"/>
      <c r="C62" s="20"/>
      <c r="D62" s="20"/>
      <c r="E62" s="20"/>
      <c r="F62" s="20"/>
      <c r="G62" s="20"/>
      <c r="H62" s="20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2"/>
      <c r="C63" s="20"/>
      <c r="D63" s="20"/>
      <c r="E63" s="20"/>
      <c r="F63" s="20"/>
      <c r="G63" s="20"/>
      <c r="H63" s="20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2"/>
      <c r="C64" s="20"/>
      <c r="D64" s="20"/>
      <c r="E64" s="20"/>
      <c r="F64" s="20"/>
      <c r="G64" s="20"/>
      <c r="H64" s="20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2"/>
      <c r="C65" s="20"/>
      <c r="D65" s="20"/>
      <c r="E65" s="20"/>
      <c r="F65" s="20"/>
      <c r="G65" s="20"/>
      <c r="H65" s="20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2"/>
      <c r="C66" s="20"/>
      <c r="D66" s="20"/>
      <c r="E66" s="20"/>
      <c r="F66" s="20"/>
      <c r="G66" s="20"/>
      <c r="H66" s="20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2"/>
      <c r="C67" s="20"/>
      <c r="D67" s="20"/>
      <c r="E67" s="20"/>
      <c r="F67" s="20"/>
      <c r="G67" s="20"/>
      <c r="H67" s="20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2"/>
      <c r="C68" s="20"/>
      <c r="D68" s="20"/>
      <c r="E68" s="20"/>
      <c r="F68" s="20"/>
      <c r="G68" s="20"/>
      <c r="H68" s="20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2"/>
      <c r="C69" s="20"/>
      <c r="D69" s="20"/>
      <c r="E69" s="20"/>
      <c r="F69" s="20"/>
      <c r="G69" s="20"/>
      <c r="H69" s="20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2"/>
      <c r="C70" s="20"/>
      <c r="D70" s="20"/>
      <c r="E70" s="20"/>
      <c r="F70" s="20"/>
      <c r="G70" s="20"/>
      <c r="H70" s="20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2"/>
      <c r="C71" s="20"/>
      <c r="D71" s="20"/>
      <c r="E71" s="20"/>
      <c r="F71" s="20"/>
      <c r="G71" s="20"/>
      <c r="H71" s="20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2"/>
      <c r="C72" s="20"/>
      <c r="D72" s="20"/>
      <c r="E72" s="20"/>
      <c r="F72" s="20"/>
      <c r="G72" s="20"/>
      <c r="H72" s="20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2"/>
      <c r="C73" s="20"/>
      <c r="D73" s="20"/>
      <c r="E73" s="20"/>
      <c r="F73" s="20"/>
      <c r="G73" s="20"/>
      <c r="H73" s="20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2"/>
      <c r="C74" s="20"/>
      <c r="D74" s="20"/>
      <c r="E74" s="20"/>
      <c r="F74" s="20"/>
      <c r="G74" s="20"/>
      <c r="H74" s="20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2"/>
      <c r="C75" s="20"/>
      <c r="D75" s="20"/>
      <c r="E75" s="20"/>
      <c r="F75" s="20"/>
      <c r="G75" s="20"/>
      <c r="H75" s="20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2"/>
      <c r="C76" s="20"/>
      <c r="D76" s="20"/>
      <c r="E76" s="20"/>
      <c r="F76" s="20"/>
      <c r="G76" s="20"/>
      <c r="H76" s="20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2"/>
      <c r="C77" s="20"/>
      <c r="D77" s="20"/>
      <c r="E77" s="20"/>
      <c r="F77" s="20"/>
      <c r="G77" s="20"/>
      <c r="H77" s="20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2"/>
      <c r="C78" s="20"/>
      <c r="D78" s="20"/>
      <c r="E78" s="20"/>
      <c r="F78" s="20"/>
      <c r="G78" s="20"/>
      <c r="H78" s="20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2"/>
      <c r="C79" s="20"/>
      <c r="D79" s="20"/>
      <c r="E79" s="20"/>
      <c r="F79" s="20"/>
      <c r="G79" s="20"/>
      <c r="H79" s="20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2"/>
      <c r="C80" s="20"/>
      <c r="D80" s="20"/>
      <c r="E80" s="20"/>
      <c r="F80" s="20"/>
      <c r="G80" s="20"/>
      <c r="H80" s="20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2"/>
      <c r="C81" s="20"/>
      <c r="D81" s="20"/>
      <c r="E81" s="20"/>
      <c r="F81" s="20"/>
      <c r="G81" s="20"/>
      <c r="H81" s="20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2"/>
      <c r="C82" s="20"/>
      <c r="D82" s="20"/>
      <c r="E82" s="20"/>
      <c r="F82" s="20"/>
      <c r="G82" s="20"/>
      <c r="H82" s="20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2"/>
      <c r="C83" s="20"/>
      <c r="D83" s="20"/>
      <c r="E83" s="20"/>
      <c r="F83" s="20"/>
      <c r="G83" s="20"/>
      <c r="H83" s="20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2"/>
      <c r="C84" s="20"/>
      <c r="D84" s="20"/>
      <c r="E84" s="20"/>
      <c r="F84" s="20"/>
      <c r="G84" s="20"/>
      <c r="H84" s="20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2"/>
      <c r="C85" s="20"/>
      <c r="D85" s="20"/>
      <c r="E85" s="20"/>
      <c r="F85" s="20"/>
      <c r="G85" s="20"/>
      <c r="H85" s="20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2"/>
      <c r="C86" s="20"/>
      <c r="D86" s="20"/>
      <c r="E86" s="20"/>
      <c r="F86" s="20"/>
      <c r="G86" s="20"/>
      <c r="H86" s="20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2"/>
      <c r="C87" s="20"/>
      <c r="D87" s="20"/>
      <c r="E87" s="20"/>
      <c r="F87" s="20"/>
      <c r="G87" s="20"/>
      <c r="H87" s="20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2"/>
      <c r="C88" s="20"/>
      <c r="D88" s="20"/>
      <c r="E88" s="20"/>
      <c r="F88" s="20"/>
      <c r="G88" s="20"/>
      <c r="H88" s="20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2"/>
      <c r="C89" s="20"/>
      <c r="D89" s="20"/>
      <c r="E89" s="20"/>
      <c r="F89" s="20"/>
      <c r="G89" s="20"/>
      <c r="H89" s="20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2"/>
      <c r="C90" s="20"/>
      <c r="D90" s="20"/>
      <c r="E90" s="20"/>
      <c r="F90" s="20"/>
      <c r="G90" s="20"/>
      <c r="H90" s="20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2"/>
      <c r="C91" s="20"/>
      <c r="D91" s="20"/>
      <c r="E91" s="20"/>
      <c r="F91" s="20"/>
      <c r="G91" s="20"/>
      <c r="H91" s="20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2"/>
      <c r="C92" s="20"/>
      <c r="D92" s="20"/>
      <c r="E92" s="20"/>
      <c r="F92" s="20"/>
      <c r="G92" s="20"/>
      <c r="H92" s="20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2"/>
      <c r="C93" s="20"/>
      <c r="D93" s="20"/>
      <c r="E93" s="20"/>
      <c r="F93" s="20"/>
      <c r="G93" s="20"/>
      <c r="H93" s="20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2"/>
      <c r="C94" s="20"/>
      <c r="D94" s="20"/>
      <c r="E94" s="20"/>
      <c r="F94" s="20"/>
      <c r="G94" s="20"/>
      <c r="H94" s="20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2"/>
      <c r="C95" s="20"/>
      <c r="D95" s="20"/>
      <c r="E95" s="20"/>
      <c r="F95" s="20"/>
      <c r="G95" s="20"/>
      <c r="H95" s="20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2"/>
      <c r="C96" s="20"/>
      <c r="D96" s="20"/>
      <c r="E96" s="20"/>
      <c r="F96" s="20"/>
      <c r="G96" s="20"/>
      <c r="H96" s="20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2"/>
      <c r="C97" s="20"/>
      <c r="D97" s="20"/>
      <c r="E97" s="20"/>
      <c r="F97" s="20"/>
      <c r="G97" s="20"/>
      <c r="H97" s="20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2"/>
      <c r="C98" s="20"/>
      <c r="D98" s="20"/>
      <c r="E98" s="20"/>
      <c r="F98" s="20"/>
      <c r="G98" s="20"/>
      <c r="H98" s="20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2"/>
      <c r="C99" s="20"/>
      <c r="D99" s="20"/>
      <c r="E99" s="20"/>
      <c r="F99" s="20"/>
      <c r="G99" s="20"/>
      <c r="H99" s="20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2"/>
      <c r="C100" s="20"/>
      <c r="D100" s="20"/>
      <c r="E100" s="20"/>
      <c r="F100" s="20"/>
      <c r="G100" s="20"/>
      <c r="H100" s="20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2"/>
      <c r="C101" s="20"/>
      <c r="D101" s="20"/>
      <c r="E101" s="20"/>
      <c r="F101" s="20"/>
      <c r="G101" s="20"/>
      <c r="H101" s="20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2"/>
      <c r="C102" s="20"/>
      <c r="D102" s="20"/>
      <c r="E102" s="20"/>
      <c r="F102" s="20"/>
      <c r="G102" s="20"/>
      <c r="H102" s="20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2"/>
      <c r="C103" s="20"/>
      <c r="D103" s="20"/>
      <c r="E103" s="20"/>
      <c r="F103" s="20"/>
      <c r="G103" s="20"/>
      <c r="H103" s="20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2"/>
      <c r="C104" s="20"/>
      <c r="D104" s="20"/>
      <c r="E104" s="20"/>
      <c r="F104" s="20"/>
      <c r="G104" s="20"/>
      <c r="H104" s="20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2"/>
      <c r="C105" s="20"/>
      <c r="D105" s="20"/>
      <c r="E105" s="20"/>
      <c r="F105" s="20"/>
      <c r="G105" s="20"/>
      <c r="H105" s="20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2"/>
      <c r="C106" s="20"/>
      <c r="D106" s="20"/>
      <c r="E106" s="20"/>
      <c r="F106" s="20"/>
      <c r="G106" s="20"/>
      <c r="H106" s="20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2"/>
      <c r="C107" s="20"/>
      <c r="D107" s="20"/>
      <c r="E107" s="20"/>
      <c r="F107" s="20"/>
      <c r="G107" s="20"/>
      <c r="H107" s="20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2"/>
      <c r="C108" s="20"/>
      <c r="D108" s="20"/>
      <c r="E108" s="20"/>
      <c r="F108" s="20"/>
      <c r="G108" s="20"/>
      <c r="H108" s="20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2"/>
      <c r="C109" s="20"/>
      <c r="D109" s="20"/>
      <c r="E109" s="20"/>
      <c r="F109" s="20"/>
      <c r="G109" s="20"/>
      <c r="H109" s="20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2"/>
      <c r="C110" s="20"/>
      <c r="D110" s="20"/>
      <c r="E110" s="20"/>
      <c r="F110" s="20"/>
      <c r="G110" s="20"/>
      <c r="H110" s="20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2"/>
      <c r="C111" s="20"/>
      <c r="D111" s="20"/>
      <c r="E111" s="20"/>
      <c r="F111" s="20"/>
      <c r="G111" s="20"/>
      <c r="H111" s="20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2"/>
      <c r="C112" s="20"/>
      <c r="D112" s="20"/>
      <c r="E112" s="20"/>
      <c r="F112" s="20"/>
      <c r="G112" s="20"/>
      <c r="H112" s="20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2"/>
      <c r="C113" s="20"/>
      <c r="D113" s="20"/>
      <c r="E113" s="20"/>
      <c r="F113" s="20"/>
      <c r="G113" s="20"/>
      <c r="H113" s="20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2"/>
      <c r="C114" s="20"/>
      <c r="D114" s="20"/>
      <c r="E114" s="20"/>
      <c r="F114" s="20"/>
      <c r="G114" s="20"/>
      <c r="H114" s="20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2"/>
      <c r="C115" s="20"/>
      <c r="D115" s="20"/>
      <c r="E115" s="20"/>
      <c r="F115" s="20"/>
      <c r="G115" s="20"/>
      <c r="H115" s="20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2"/>
      <c r="C116" s="20"/>
      <c r="D116" s="20"/>
      <c r="E116" s="20"/>
      <c r="F116" s="20"/>
      <c r="G116" s="20"/>
      <c r="H116" s="20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2"/>
      <c r="C117" s="20"/>
      <c r="D117" s="20"/>
      <c r="E117" s="20"/>
      <c r="F117" s="20"/>
      <c r="G117" s="20"/>
      <c r="H117" s="20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2"/>
      <c r="C118" s="20"/>
      <c r="D118" s="20"/>
      <c r="E118" s="20"/>
      <c r="F118" s="20"/>
      <c r="G118" s="20"/>
      <c r="H118" s="20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2"/>
      <c r="C119" s="20"/>
      <c r="D119" s="20"/>
      <c r="E119" s="20"/>
      <c r="F119" s="20"/>
      <c r="G119" s="20"/>
      <c r="H119" s="20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2"/>
      <c r="C120" s="20"/>
      <c r="D120" s="20"/>
      <c r="E120" s="20"/>
      <c r="F120" s="20"/>
      <c r="G120" s="20"/>
      <c r="H120" s="20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2"/>
      <c r="C121" s="20"/>
      <c r="D121" s="20"/>
      <c r="E121" s="20"/>
      <c r="F121" s="20"/>
      <c r="G121" s="20"/>
      <c r="H121" s="20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2"/>
      <c r="C122" s="20"/>
      <c r="D122" s="20"/>
      <c r="E122" s="20"/>
      <c r="F122" s="20"/>
      <c r="G122" s="20"/>
      <c r="H122" s="20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2"/>
      <c r="C123" s="20"/>
      <c r="D123" s="20"/>
      <c r="E123" s="20"/>
      <c r="F123" s="20"/>
      <c r="G123" s="20"/>
      <c r="H123" s="20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2"/>
      <c r="C124" s="20"/>
      <c r="D124" s="20"/>
      <c r="E124" s="20"/>
      <c r="F124" s="20"/>
      <c r="G124" s="20"/>
      <c r="H124" s="20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2"/>
      <c r="C125" s="20"/>
      <c r="D125" s="20"/>
      <c r="E125" s="20"/>
      <c r="F125" s="20"/>
      <c r="G125" s="20"/>
      <c r="H125" s="20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2"/>
      <c r="C126" s="20"/>
      <c r="D126" s="20"/>
      <c r="E126" s="20"/>
      <c r="F126" s="20"/>
      <c r="G126" s="20"/>
      <c r="H126" s="20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2"/>
      <c r="C127" s="20"/>
      <c r="D127" s="20"/>
      <c r="E127" s="20"/>
      <c r="F127" s="20"/>
      <c r="G127" s="20"/>
      <c r="H127" s="20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2"/>
      <c r="C128" s="20"/>
      <c r="D128" s="20"/>
      <c r="E128" s="20"/>
      <c r="F128" s="20"/>
      <c r="G128" s="20"/>
      <c r="H128" s="20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2"/>
      <c r="C129" s="20"/>
      <c r="D129" s="20"/>
      <c r="E129" s="20"/>
      <c r="F129" s="20"/>
      <c r="G129" s="20"/>
      <c r="H129" s="20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2"/>
      <c r="C130" s="20"/>
      <c r="D130" s="20"/>
      <c r="E130" s="20"/>
      <c r="F130" s="20"/>
      <c r="G130" s="20"/>
      <c r="H130" s="20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2"/>
      <c r="C131" s="20"/>
      <c r="D131" s="20"/>
      <c r="E131" s="20"/>
      <c r="F131" s="20"/>
      <c r="G131" s="20"/>
      <c r="H131" s="20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2"/>
      <c r="C132" s="20"/>
      <c r="D132" s="20"/>
      <c r="E132" s="20"/>
      <c r="F132" s="20"/>
      <c r="G132" s="20"/>
      <c r="H132" s="20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2"/>
      <c r="C133" s="20"/>
      <c r="D133" s="20"/>
      <c r="E133" s="20"/>
      <c r="F133" s="20"/>
      <c r="G133" s="20"/>
      <c r="H133" s="20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2"/>
      <c r="C134" s="20"/>
      <c r="D134" s="20"/>
      <c r="E134" s="20"/>
      <c r="F134" s="20"/>
      <c r="G134" s="20"/>
      <c r="H134" s="20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2"/>
      <c r="C135" s="20"/>
      <c r="D135" s="20"/>
      <c r="E135" s="20"/>
      <c r="F135" s="20"/>
      <c r="G135" s="20"/>
      <c r="H135" s="20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2"/>
      <c r="C136" s="20"/>
      <c r="D136" s="20"/>
      <c r="E136" s="20"/>
      <c r="F136" s="20"/>
      <c r="G136" s="20"/>
      <c r="H136" s="20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2"/>
      <c r="C137" s="20"/>
      <c r="D137" s="20"/>
      <c r="E137" s="20"/>
      <c r="F137" s="20"/>
      <c r="G137" s="20"/>
      <c r="H137" s="20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2"/>
      <c r="C138" s="20"/>
      <c r="D138" s="20"/>
      <c r="E138" s="20"/>
      <c r="F138" s="20"/>
      <c r="G138" s="20"/>
      <c r="H138" s="20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2"/>
      <c r="C139" s="20"/>
      <c r="D139" s="20"/>
      <c r="E139" s="20"/>
      <c r="F139" s="20"/>
      <c r="G139" s="20"/>
      <c r="H139" s="20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2"/>
      <c r="C140" s="20"/>
      <c r="D140" s="20"/>
      <c r="E140" s="20"/>
      <c r="F140" s="20"/>
      <c r="G140" s="20"/>
      <c r="H140" s="20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2"/>
      <c r="C141" s="20"/>
      <c r="D141" s="20"/>
      <c r="E141" s="20"/>
      <c r="F141" s="20"/>
      <c r="G141" s="20"/>
      <c r="H141" s="20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2"/>
      <c r="C142" s="20"/>
      <c r="D142" s="20"/>
      <c r="E142" s="20"/>
      <c r="F142" s="20"/>
      <c r="G142" s="20"/>
      <c r="H142" s="20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2"/>
      <c r="C143" s="20"/>
      <c r="D143" s="20"/>
      <c r="E143" s="20"/>
      <c r="F143" s="20"/>
      <c r="G143" s="20"/>
      <c r="H143" s="20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2"/>
      <c r="C144" s="20"/>
      <c r="D144" s="20"/>
      <c r="E144" s="20"/>
      <c r="F144" s="20"/>
      <c r="G144" s="20"/>
      <c r="H144" s="20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2"/>
      <c r="C145" s="20"/>
      <c r="D145" s="20"/>
      <c r="E145" s="20"/>
      <c r="F145" s="20"/>
      <c r="G145" s="20"/>
      <c r="H145" s="20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2"/>
      <c r="C146" s="20"/>
      <c r="D146" s="20"/>
      <c r="E146" s="20"/>
      <c r="F146" s="20"/>
      <c r="G146" s="20"/>
      <c r="H146" s="20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2"/>
      <c r="C147" s="20"/>
      <c r="D147" s="20"/>
      <c r="E147" s="20"/>
      <c r="F147" s="20"/>
      <c r="G147" s="20"/>
      <c r="H147" s="20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2"/>
      <c r="C148" s="20"/>
      <c r="D148" s="20"/>
      <c r="E148" s="20"/>
      <c r="F148" s="20"/>
      <c r="G148" s="20"/>
      <c r="H148" s="20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2"/>
      <c r="C149" s="20"/>
      <c r="D149" s="20"/>
      <c r="E149" s="20"/>
      <c r="F149" s="20"/>
      <c r="G149" s="20"/>
      <c r="H149" s="20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2"/>
      <c r="C150" s="20"/>
      <c r="D150" s="20"/>
      <c r="E150" s="20"/>
      <c r="F150" s="20"/>
      <c r="G150" s="20"/>
      <c r="H150" s="20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2"/>
      <c r="C151" s="20"/>
      <c r="D151" s="20"/>
      <c r="E151" s="20"/>
      <c r="F151" s="20"/>
      <c r="G151" s="20"/>
      <c r="H151" s="20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2"/>
      <c r="C152" s="20"/>
      <c r="D152" s="20"/>
      <c r="E152" s="20"/>
      <c r="F152" s="20"/>
      <c r="G152" s="20"/>
      <c r="H152" s="20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2"/>
      <c r="C153" s="20"/>
      <c r="D153" s="20"/>
      <c r="E153" s="20"/>
      <c r="F153" s="20"/>
      <c r="G153" s="20"/>
      <c r="H153" s="20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2"/>
      <c r="C154" s="20"/>
      <c r="D154" s="20"/>
      <c r="E154" s="20"/>
      <c r="F154" s="20"/>
      <c r="G154" s="20"/>
      <c r="H154" s="20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2"/>
      <c r="C155" s="20"/>
      <c r="D155" s="20"/>
      <c r="E155" s="20"/>
      <c r="F155" s="20"/>
      <c r="G155" s="20"/>
      <c r="H155" s="20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2"/>
      <c r="C156" s="20"/>
      <c r="D156" s="20"/>
      <c r="E156" s="20"/>
      <c r="F156" s="20"/>
      <c r="G156" s="20"/>
      <c r="H156" s="20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2"/>
      <c r="C157" s="20"/>
      <c r="D157" s="20"/>
      <c r="E157" s="20"/>
      <c r="F157" s="20"/>
      <c r="G157" s="20"/>
      <c r="H157" s="20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2"/>
      <c r="C158" s="20"/>
      <c r="D158" s="20"/>
      <c r="E158" s="20"/>
      <c r="F158" s="20"/>
      <c r="G158" s="20"/>
      <c r="H158" s="20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2"/>
      <c r="C159" s="20"/>
      <c r="D159" s="20"/>
      <c r="E159" s="20"/>
      <c r="F159" s="20"/>
      <c r="G159" s="20"/>
      <c r="H159" s="20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2"/>
      <c r="C160" s="20"/>
      <c r="D160" s="20"/>
      <c r="E160" s="20"/>
      <c r="F160" s="20"/>
      <c r="G160" s="20"/>
      <c r="H160" s="20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2"/>
      <c r="C161" s="20"/>
      <c r="D161" s="20"/>
      <c r="E161" s="20"/>
      <c r="F161" s="20"/>
      <c r="G161" s="20"/>
      <c r="H161" s="20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2"/>
      <c r="C162" s="20"/>
      <c r="D162" s="20"/>
      <c r="E162" s="20"/>
      <c r="F162" s="20"/>
      <c r="G162" s="20"/>
      <c r="H162" s="20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2"/>
      <c r="C163" s="20"/>
      <c r="D163" s="20"/>
      <c r="E163" s="20"/>
      <c r="F163" s="20"/>
      <c r="G163" s="20"/>
      <c r="H163" s="20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2"/>
      <c r="C164" s="20"/>
      <c r="D164" s="20"/>
      <c r="E164" s="20"/>
      <c r="F164" s="20"/>
      <c r="G164" s="20"/>
      <c r="H164" s="20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2"/>
      <c r="C165" s="20"/>
      <c r="D165" s="20"/>
      <c r="E165" s="20"/>
      <c r="F165" s="20"/>
      <c r="G165" s="20"/>
      <c r="H165" s="20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2"/>
      <c r="C166" s="20"/>
      <c r="D166" s="20"/>
      <c r="E166" s="20"/>
      <c r="F166" s="20"/>
      <c r="G166" s="20"/>
      <c r="H166" s="20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2"/>
      <c r="C167" s="20"/>
      <c r="D167" s="20"/>
      <c r="E167" s="20"/>
      <c r="F167" s="20"/>
      <c r="G167" s="20"/>
      <c r="H167" s="20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2"/>
      <c r="C168" s="20"/>
      <c r="D168" s="20"/>
      <c r="E168" s="20"/>
      <c r="F168" s="20"/>
      <c r="G168" s="20"/>
      <c r="H168" s="20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2"/>
      <c r="C169" s="20"/>
      <c r="D169" s="20"/>
      <c r="E169" s="20"/>
      <c r="F169" s="20"/>
      <c r="G169" s="20"/>
      <c r="H169" s="20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2"/>
      <c r="C170" s="20"/>
      <c r="D170" s="20"/>
      <c r="E170" s="20"/>
      <c r="F170" s="20"/>
      <c r="G170" s="20"/>
      <c r="H170" s="20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2"/>
      <c r="C171" s="20"/>
      <c r="D171" s="20"/>
      <c r="E171" s="20"/>
      <c r="F171" s="20"/>
      <c r="G171" s="20"/>
      <c r="H171" s="20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2"/>
      <c r="C172" s="20"/>
      <c r="D172" s="20"/>
      <c r="E172" s="20"/>
      <c r="F172" s="20"/>
      <c r="G172" s="20"/>
      <c r="H172" s="20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2"/>
      <c r="C173" s="20"/>
      <c r="D173" s="20"/>
      <c r="E173" s="20"/>
      <c r="F173" s="20"/>
      <c r="G173" s="20"/>
      <c r="H173" s="20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2"/>
      <c r="C174" s="20"/>
      <c r="D174" s="20"/>
      <c r="E174" s="20"/>
      <c r="F174" s="20"/>
      <c r="G174" s="20"/>
      <c r="H174" s="20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2"/>
      <c r="C175" s="20"/>
      <c r="D175" s="20"/>
      <c r="E175" s="20"/>
      <c r="F175" s="20"/>
      <c r="G175" s="20"/>
      <c r="H175" s="20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2"/>
      <c r="C176" s="20"/>
      <c r="D176" s="20"/>
      <c r="E176" s="20"/>
      <c r="F176" s="20"/>
      <c r="G176" s="20"/>
      <c r="H176" s="20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2"/>
      <c r="C177" s="20"/>
      <c r="D177" s="20"/>
      <c r="E177" s="20"/>
      <c r="F177" s="20"/>
      <c r="G177" s="20"/>
      <c r="H177" s="20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2"/>
      <c r="C178" s="20"/>
      <c r="D178" s="20"/>
      <c r="E178" s="20"/>
      <c r="F178" s="20"/>
      <c r="G178" s="20"/>
      <c r="H178" s="20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2"/>
      <c r="C179" s="20"/>
      <c r="D179" s="20"/>
      <c r="E179" s="20"/>
      <c r="F179" s="20"/>
      <c r="G179" s="20"/>
      <c r="H179" s="20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2"/>
      <c r="C180" s="20"/>
      <c r="D180" s="20"/>
      <c r="E180" s="20"/>
      <c r="F180" s="20"/>
      <c r="G180" s="20"/>
      <c r="H180" s="20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2"/>
      <c r="C181" s="20"/>
      <c r="D181" s="20"/>
      <c r="E181" s="20"/>
      <c r="F181" s="20"/>
      <c r="G181" s="20"/>
      <c r="H181" s="20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2"/>
      <c r="C182" s="20"/>
      <c r="D182" s="20"/>
      <c r="E182" s="20"/>
      <c r="F182" s="20"/>
      <c r="G182" s="20"/>
      <c r="H182" s="20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2"/>
      <c r="C183" s="20"/>
      <c r="D183" s="20"/>
      <c r="E183" s="20"/>
      <c r="F183" s="20"/>
      <c r="G183" s="20"/>
      <c r="H183" s="20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2"/>
      <c r="C184" s="20"/>
      <c r="D184" s="20"/>
      <c r="E184" s="20"/>
      <c r="F184" s="20"/>
      <c r="G184" s="20"/>
      <c r="H184" s="20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2"/>
      <c r="C185" s="20"/>
      <c r="D185" s="20"/>
      <c r="E185" s="20"/>
      <c r="F185" s="20"/>
      <c r="G185" s="20"/>
      <c r="H185" s="20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2"/>
      <c r="C186" s="20"/>
      <c r="D186" s="20"/>
      <c r="E186" s="20"/>
      <c r="F186" s="20"/>
      <c r="G186" s="20"/>
      <c r="H186" s="20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2"/>
      <c r="C187" s="20"/>
      <c r="D187" s="20"/>
      <c r="E187" s="20"/>
      <c r="F187" s="20"/>
      <c r="G187" s="20"/>
      <c r="H187" s="20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2"/>
      <c r="C188" s="20"/>
      <c r="D188" s="20"/>
      <c r="E188" s="20"/>
      <c r="F188" s="20"/>
      <c r="G188" s="20"/>
      <c r="H188" s="20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2"/>
      <c r="C189" s="20"/>
      <c r="D189" s="20"/>
      <c r="E189" s="20"/>
      <c r="F189" s="20"/>
      <c r="G189" s="20"/>
      <c r="H189" s="20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2"/>
      <c r="C190" s="20"/>
      <c r="D190" s="20"/>
      <c r="E190" s="20"/>
      <c r="F190" s="20"/>
      <c r="G190" s="20"/>
      <c r="H190" s="20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2"/>
      <c r="C191" s="20"/>
      <c r="D191" s="20"/>
      <c r="E191" s="20"/>
      <c r="F191" s="20"/>
      <c r="G191" s="20"/>
      <c r="H191" s="20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2"/>
      <c r="C192" s="20"/>
      <c r="D192" s="20"/>
      <c r="E192" s="20"/>
      <c r="F192" s="20"/>
      <c r="G192" s="20"/>
      <c r="H192" s="20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2"/>
      <c r="C193" s="20"/>
      <c r="D193" s="20"/>
      <c r="E193" s="20"/>
      <c r="F193" s="20"/>
      <c r="G193" s="20"/>
      <c r="H193" s="20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2"/>
      <c r="C194" s="20"/>
      <c r="D194" s="20"/>
      <c r="E194" s="20"/>
      <c r="F194" s="20"/>
      <c r="G194" s="20"/>
      <c r="H194" s="20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2"/>
      <c r="C195" s="20"/>
      <c r="D195" s="20"/>
      <c r="E195" s="20"/>
      <c r="F195" s="20"/>
      <c r="G195" s="20"/>
      <c r="H195" s="20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2"/>
      <c r="C196" s="20"/>
      <c r="D196" s="20"/>
      <c r="E196" s="20"/>
      <c r="F196" s="20"/>
      <c r="G196" s="20"/>
      <c r="H196" s="20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2"/>
      <c r="C197" s="20"/>
      <c r="D197" s="20"/>
      <c r="E197" s="20"/>
      <c r="F197" s="20"/>
      <c r="G197" s="20"/>
      <c r="H197" s="20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2"/>
      <c r="C198" s="20"/>
      <c r="D198" s="20"/>
      <c r="E198" s="20"/>
      <c r="F198" s="20"/>
      <c r="G198" s="20"/>
      <c r="H198" s="20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2"/>
      <c r="C199" s="20"/>
      <c r="D199" s="20"/>
      <c r="E199" s="20"/>
      <c r="F199" s="20"/>
      <c r="G199" s="20"/>
      <c r="H199" s="20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2"/>
      <c r="C200" s="20"/>
      <c r="D200" s="20"/>
      <c r="E200" s="20"/>
      <c r="F200" s="20"/>
      <c r="G200" s="20"/>
      <c r="H200" s="20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2"/>
      <c r="C201" s="20"/>
      <c r="D201" s="20"/>
      <c r="E201" s="20"/>
      <c r="F201" s="20"/>
      <c r="G201" s="20"/>
      <c r="H201" s="20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2"/>
      <c r="C202" s="20"/>
      <c r="D202" s="20"/>
      <c r="E202" s="20"/>
      <c r="F202" s="20"/>
      <c r="G202" s="20"/>
      <c r="H202" s="20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2"/>
      <c r="C203" s="20"/>
      <c r="D203" s="20"/>
      <c r="E203" s="20"/>
      <c r="F203" s="20"/>
      <c r="G203" s="20"/>
      <c r="H203" s="20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2"/>
      <c r="C204" s="20"/>
      <c r="D204" s="20"/>
      <c r="E204" s="20"/>
      <c r="F204" s="20"/>
      <c r="G204" s="20"/>
      <c r="H204" s="20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2"/>
      <c r="C205" s="20"/>
      <c r="D205" s="20"/>
      <c r="E205" s="20"/>
      <c r="F205" s="20"/>
      <c r="G205" s="20"/>
      <c r="H205" s="20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2"/>
      <c r="C206" s="20"/>
      <c r="D206" s="20"/>
      <c r="E206" s="20"/>
      <c r="F206" s="20"/>
      <c r="G206" s="20"/>
      <c r="H206" s="20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2"/>
      <c r="C207" s="20"/>
      <c r="D207" s="20"/>
      <c r="E207" s="20"/>
      <c r="F207" s="20"/>
      <c r="G207" s="20"/>
      <c r="H207" s="20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2"/>
      <c r="C208" s="20"/>
      <c r="D208" s="20"/>
      <c r="E208" s="20"/>
      <c r="F208" s="20"/>
      <c r="G208" s="20"/>
      <c r="H208" s="20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2"/>
      <c r="C209" s="20"/>
      <c r="D209" s="20"/>
      <c r="E209" s="20"/>
      <c r="F209" s="20"/>
      <c r="G209" s="20"/>
      <c r="H209" s="20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2"/>
      <c r="C210" s="20"/>
      <c r="D210" s="20"/>
      <c r="E210" s="20"/>
      <c r="F210" s="20"/>
      <c r="G210" s="20"/>
      <c r="H210" s="20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2"/>
      <c r="C211" s="20"/>
      <c r="D211" s="20"/>
      <c r="E211" s="20"/>
      <c r="F211" s="20"/>
      <c r="G211" s="20"/>
      <c r="H211" s="20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2"/>
      <c r="C212" s="20"/>
      <c r="D212" s="20"/>
      <c r="E212" s="20"/>
      <c r="F212" s="20"/>
      <c r="G212" s="20"/>
      <c r="H212" s="20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2"/>
      <c r="C213" s="20"/>
      <c r="D213" s="20"/>
      <c r="E213" s="20"/>
      <c r="F213" s="20"/>
      <c r="G213" s="20"/>
      <c r="H213" s="20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2"/>
      <c r="C214" s="20"/>
      <c r="D214" s="20"/>
      <c r="E214" s="20"/>
      <c r="F214" s="20"/>
      <c r="G214" s="20"/>
      <c r="H214" s="20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2"/>
      <c r="C215" s="20"/>
      <c r="D215" s="20"/>
      <c r="E215" s="20"/>
      <c r="F215" s="20"/>
      <c r="G215" s="20"/>
      <c r="H215" s="20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2"/>
      <c r="C216" s="20"/>
      <c r="D216" s="20"/>
      <c r="E216" s="20"/>
      <c r="F216" s="20"/>
      <c r="G216" s="20"/>
      <c r="H216" s="20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2"/>
      <c r="C217" s="20"/>
      <c r="D217" s="20"/>
      <c r="E217" s="20"/>
      <c r="F217" s="20"/>
      <c r="G217" s="20"/>
      <c r="H217" s="20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2"/>
      <c r="C218" s="20"/>
      <c r="D218" s="20"/>
      <c r="E218" s="20"/>
      <c r="F218" s="20"/>
      <c r="G218" s="20"/>
      <c r="H218" s="20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2"/>
      <c r="C219" s="20"/>
      <c r="D219" s="20"/>
      <c r="E219" s="20"/>
      <c r="F219" s="20"/>
      <c r="G219" s="20"/>
      <c r="H219" s="20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conditionalFormatting sqref="G8 G10 G14:G999">
    <cfRule type="cellIs" dxfId="75" priority="2" stopIfTrue="1" operator="lessThan">
      <formula>0</formula>
    </cfRule>
  </conditionalFormatting>
  <conditionalFormatting sqref="G359:G999">
    <cfRule type="cellIs" dxfId="74" priority="3" stopIfTrue="1" operator="lessThan">
      <formula>0</formula>
    </cfRule>
  </conditionalFormatting>
  <conditionalFormatting sqref="B9:B18">
    <cfRule type="timePeriod" dxfId="73" priority="1" timePeriod="lastMonth">
      <formula>AND(MONTH(B9)=MONTH(EDATE(TODAY(),0-1)),YEAR(B9)=YEAR(EDATE(TODAY(),0-1)))</formula>
    </cfRule>
  </conditionalFormatting>
  <dataValidations count="2">
    <dataValidation type="list" allowBlank="1" showErrorMessage="1" sqref="D9:D18" xr:uid="{00000000-0002-0000-0200-000000000000}">
      <formula1>CODIGO</formula1>
    </dataValidation>
    <dataValidation type="list" allowBlank="1" showErrorMessage="1" sqref="C9:C18" xr:uid="{00000000-0002-0000-0200-000001000000}">
      <formula1>"Compra,Venta,Existencia"</formula1>
    </dataValidation>
  </dataValidations>
  <pageMargins left="0.7" right="0.7" top="0.75" bottom="0.75" header="0" footer="0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4"/>
  <sheetViews>
    <sheetView tabSelected="1" workbookViewId="0">
      <selection activeCell="E12" sqref="E12"/>
    </sheetView>
  </sheetViews>
  <sheetFormatPr baseColWidth="10" defaultColWidth="11.453125" defaultRowHeight="14.5" x14ac:dyDescent="0.35"/>
  <cols>
    <col min="1" max="1" width="23.81640625" style="28" customWidth="1"/>
    <col min="2" max="7" width="10.453125" style="28" bestFit="1" customWidth="1"/>
    <col min="8" max="8" width="12.54296875" style="28" customWidth="1"/>
    <col min="9" max="9" width="21.54296875" style="28" customWidth="1"/>
    <col min="10" max="10" width="20.7265625" style="28" customWidth="1"/>
    <col min="11" max="11" width="9.81640625" style="28" customWidth="1"/>
    <col min="12" max="16" width="8.7265625" style="28" customWidth="1"/>
    <col min="17" max="17" width="12.54296875" style="28" customWidth="1"/>
    <col min="18" max="22" width="8.7265625" style="28" customWidth="1"/>
    <col min="23" max="23" width="6.26953125" style="28" customWidth="1"/>
    <col min="24" max="24" width="41.81640625" style="28" bestFit="1" customWidth="1"/>
    <col min="25" max="16384" width="11.453125" style="28"/>
  </cols>
  <sheetData>
    <row r="1" spans="1:8" x14ac:dyDescent="0.35">
      <c r="A1" s="57" t="s">
        <v>25</v>
      </c>
      <c r="B1" s="57"/>
      <c r="C1" s="57"/>
      <c r="D1" s="57"/>
    </row>
    <row r="2" spans="1:8" x14ac:dyDescent="0.35">
      <c r="A2" s="57"/>
      <c r="B2" s="57"/>
      <c r="C2" s="57"/>
      <c r="D2" s="57"/>
    </row>
    <row r="3" spans="1:8" x14ac:dyDescent="0.35">
      <c r="A3" s="57"/>
      <c r="B3" s="57"/>
      <c r="C3" s="57"/>
      <c r="D3" s="57"/>
    </row>
    <row r="6" spans="1:8" ht="23.5" x14ac:dyDescent="0.35">
      <c r="A6" s="55" t="s">
        <v>34</v>
      </c>
      <c r="B6" s="29" t="s">
        <v>23</v>
      </c>
    </row>
    <row r="8" spans="1:8" x14ac:dyDescent="0.35">
      <c r="A8" s="30" t="s">
        <v>28</v>
      </c>
      <c r="B8" s="30" t="s">
        <v>26</v>
      </c>
      <c r="C8" s="31"/>
      <c r="D8" s="31"/>
      <c r="E8" s="31"/>
      <c r="F8" s="31"/>
      <c r="G8" s="31"/>
      <c r="H8" s="32"/>
    </row>
    <row r="9" spans="1:8" ht="23.5" x14ac:dyDescent="0.35">
      <c r="A9" s="56" t="s">
        <v>27</v>
      </c>
      <c r="B9" s="33">
        <v>44317</v>
      </c>
      <c r="C9" s="34">
        <v>44318</v>
      </c>
      <c r="D9" s="34">
        <v>44319</v>
      </c>
      <c r="E9" s="34">
        <v>44320</v>
      </c>
      <c r="F9" s="34">
        <v>44321</v>
      </c>
      <c r="G9" s="34">
        <v>44322</v>
      </c>
      <c r="H9" s="35" t="s">
        <v>22</v>
      </c>
    </row>
    <row r="10" spans="1:8" x14ac:dyDescent="0.35">
      <c r="A10" s="36" t="s">
        <v>24</v>
      </c>
      <c r="B10" s="37">
        <v>250</v>
      </c>
      <c r="C10" s="38">
        <v>20</v>
      </c>
      <c r="D10" s="38">
        <v>-50</v>
      </c>
      <c r="E10" s="38"/>
      <c r="F10" s="38"/>
      <c r="G10" s="38"/>
      <c r="H10" s="39">
        <v>220</v>
      </c>
    </row>
    <row r="11" spans="1:8" ht="29.25" customHeight="1" x14ac:dyDescent="0.35">
      <c r="A11" s="40" t="s">
        <v>17</v>
      </c>
      <c r="B11" s="41">
        <v>100</v>
      </c>
      <c r="C11" s="42"/>
      <c r="D11" s="42"/>
      <c r="E11" s="42"/>
      <c r="F11" s="42"/>
      <c r="G11" s="42">
        <v>-10</v>
      </c>
      <c r="H11" s="43">
        <v>90</v>
      </c>
    </row>
    <row r="12" spans="1:8" ht="29.25" customHeight="1" x14ac:dyDescent="0.35">
      <c r="A12" s="40" t="s">
        <v>15</v>
      </c>
      <c r="B12" s="41">
        <v>150</v>
      </c>
      <c r="C12" s="42"/>
      <c r="D12" s="42"/>
      <c r="E12" s="42">
        <v>-20</v>
      </c>
      <c r="F12" s="42"/>
      <c r="G12" s="42"/>
      <c r="H12" s="43">
        <v>130</v>
      </c>
    </row>
    <row r="13" spans="1:8" ht="29.25" customHeight="1" x14ac:dyDescent="0.35">
      <c r="A13" s="40" t="s">
        <v>16</v>
      </c>
      <c r="B13" s="41">
        <v>300</v>
      </c>
      <c r="C13" s="42">
        <v>100</v>
      </c>
      <c r="D13" s="42"/>
      <c r="E13" s="42"/>
      <c r="F13" s="42">
        <v>-60</v>
      </c>
      <c r="G13" s="42"/>
      <c r="H13" s="43">
        <v>340</v>
      </c>
    </row>
    <row r="14" spans="1:8" x14ac:dyDescent="0.35">
      <c r="A14" s="44" t="s">
        <v>22</v>
      </c>
      <c r="B14" s="45">
        <v>800</v>
      </c>
      <c r="C14" s="46">
        <v>120</v>
      </c>
      <c r="D14" s="46">
        <v>-50</v>
      </c>
      <c r="E14" s="46">
        <v>-20</v>
      </c>
      <c r="F14" s="46">
        <v>-60</v>
      </c>
      <c r="G14" s="46">
        <v>-10</v>
      </c>
      <c r="H14" s="47">
        <v>780</v>
      </c>
    </row>
    <row r="17" spans="1:8" ht="23.5" x14ac:dyDescent="0.35">
      <c r="A17" s="55" t="s">
        <v>35</v>
      </c>
      <c r="B17" s="29" t="s">
        <v>23</v>
      </c>
    </row>
    <row r="19" spans="1:8" x14ac:dyDescent="0.35">
      <c r="A19" s="30" t="s">
        <v>11</v>
      </c>
      <c r="B19" s="30" t="s">
        <v>26</v>
      </c>
      <c r="C19" s="31"/>
      <c r="D19" s="31"/>
      <c r="E19" s="31"/>
      <c r="F19" s="31"/>
      <c r="G19" s="31"/>
      <c r="H19" s="32"/>
    </row>
    <row r="20" spans="1:8" ht="23.5" x14ac:dyDescent="0.35">
      <c r="A20" s="56" t="s">
        <v>27</v>
      </c>
      <c r="B20" s="33">
        <v>44317</v>
      </c>
      <c r="C20" s="34">
        <v>44318</v>
      </c>
      <c r="D20" s="34">
        <v>44319</v>
      </c>
      <c r="E20" s="34">
        <v>44320</v>
      </c>
      <c r="F20" s="34">
        <v>44321</v>
      </c>
      <c r="G20" s="34">
        <v>44322</v>
      </c>
      <c r="H20" s="35" t="s">
        <v>22</v>
      </c>
    </row>
    <row r="21" spans="1:8" x14ac:dyDescent="0.35">
      <c r="A21" s="36" t="s">
        <v>14</v>
      </c>
      <c r="B21" s="37"/>
      <c r="C21" s="38">
        <v>120</v>
      </c>
      <c r="D21" s="38"/>
      <c r="E21" s="38"/>
      <c r="F21" s="38"/>
      <c r="G21" s="38"/>
      <c r="H21" s="39">
        <v>120</v>
      </c>
    </row>
    <row r="22" spans="1:8" x14ac:dyDescent="0.35">
      <c r="A22" s="40" t="s">
        <v>12</v>
      </c>
      <c r="B22" s="41">
        <v>800</v>
      </c>
      <c r="C22" s="42"/>
      <c r="D22" s="42"/>
      <c r="E22" s="42"/>
      <c r="F22" s="42"/>
      <c r="G22" s="42"/>
      <c r="H22" s="43">
        <v>800</v>
      </c>
    </row>
    <row r="23" spans="1:8" x14ac:dyDescent="0.35">
      <c r="A23" s="40" t="s">
        <v>13</v>
      </c>
      <c r="B23" s="41"/>
      <c r="C23" s="42"/>
      <c r="D23" s="42">
        <v>-50</v>
      </c>
      <c r="E23" s="42">
        <v>-20</v>
      </c>
      <c r="F23" s="42">
        <v>-60</v>
      </c>
      <c r="G23" s="42">
        <v>-10</v>
      </c>
      <c r="H23" s="43">
        <v>-140</v>
      </c>
    </row>
    <row r="24" spans="1:8" x14ac:dyDescent="0.35">
      <c r="A24" s="44" t="s">
        <v>22</v>
      </c>
      <c r="B24" s="45">
        <v>800</v>
      </c>
      <c r="C24" s="46">
        <v>120</v>
      </c>
      <c r="D24" s="46">
        <v>-50</v>
      </c>
      <c r="E24" s="46">
        <v>-20</v>
      </c>
      <c r="F24" s="46">
        <v>-60</v>
      </c>
      <c r="G24" s="46">
        <v>-10</v>
      </c>
      <c r="H24" s="47">
        <v>780</v>
      </c>
    </row>
  </sheetData>
  <mergeCells count="1">
    <mergeCell ref="A1:D3"/>
  </mergeCells>
  <conditionalFormatting pivot="1" sqref="B14:H1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{B4E68B97-CE2D-43CE-B81D-BD01F314B341}</x14:id>
        </ext>
      </extLst>
    </cfRule>
  </conditionalFormatting>
  <conditionalFormatting pivot="1" sqref="B24:H24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{C38A8A7C-E927-43ED-AD49-D2A1D0A781FF}</x14:id>
        </ext>
      </extLst>
    </cfRule>
  </conditionalFormatting>
  <pageMargins left="0.7" right="0.7" top="0.75" bottom="0.75" header="0.3" footer="0.3"/>
  <pageSetup paperSize="9" orientation="portrait" r:id="rId3"/>
  <drawing r:id="rId4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B4E68B97-CE2D-43CE-B81D-BD01F314B3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B14:H14</xm:sqref>
        </x14:conditionalFormatting>
        <x14:conditionalFormatting xmlns:xm="http://schemas.microsoft.com/office/excel/2006/main" pivot="1">
          <x14:cfRule type="dataBar" id="{C38A8A7C-E927-43ED-AD49-D2A1D0A781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B24:H24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Dashboard</vt:lpstr>
      <vt:lpstr>Productos</vt:lpstr>
      <vt:lpstr>Compras y Ventas</vt:lpstr>
      <vt:lpstr>Control de stock</vt:lpstr>
      <vt:lpstr>CODIGO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Planilla Excel</dc:creator>
  <cp:lastModifiedBy>uSER</cp:lastModifiedBy>
  <dcterms:created xsi:type="dcterms:W3CDTF">2014-07-12T23:38:11Z</dcterms:created>
  <dcterms:modified xsi:type="dcterms:W3CDTF">2026-01-07T00:32:41Z</dcterms:modified>
</cp:coreProperties>
</file>